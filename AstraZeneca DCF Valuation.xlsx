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619eb350dcbefdb7/Desktop/"/>
    </mc:Choice>
  </mc:AlternateContent>
  <xr:revisionPtr revIDLastSave="258" documentId="13_ncr:1_{16C677FB-4AB7-4C13-B1F9-63D600F97069}" xr6:coauthVersionLast="47" xr6:coauthVersionMax="47" xr10:uidLastSave="{B41A08C7-42BA-4BA7-82A5-EC8F585B86B0}"/>
  <bookViews>
    <workbookView xWindow="-110" yWindow="-110" windowWidth="19420" windowHeight="10300" xr2:uid="{F89D5EF6-51DE-44EF-BE5F-D17794591D23}"/>
  </bookViews>
  <sheets>
    <sheet name="Summary" sheetId="1" r:id="rId1"/>
    <sheet name="Historical Financials" sheetId="2" r:id="rId2"/>
    <sheet name="Forecast" sheetId="3" r:id="rId3"/>
    <sheet name="WACC" sheetId="4" r:id="rId4"/>
    <sheet name="DCF" sheetId="5" r:id="rId5"/>
    <sheet name="Sensitivit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5" i="6" l="1"/>
  <c r="C15" i="6"/>
  <c r="D15" i="6"/>
  <c r="E15" i="6"/>
  <c r="F15" i="6"/>
  <c r="B16" i="6"/>
  <c r="C16" i="6"/>
  <c r="D16" i="6"/>
  <c r="E16" i="6"/>
  <c r="F16" i="6"/>
  <c r="B17" i="6"/>
  <c r="C17" i="6"/>
  <c r="D17" i="6"/>
  <c r="E17" i="6"/>
  <c r="F17" i="6"/>
  <c r="B18" i="6"/>
  <c r="C18" i="6"/>
  <c r="D18" i="6"/>
  <c r="E18" i="6"/>
  <c r="F18" i="6"/>
  <c r="C14" i="6"/>
  <c r="D14" i="6"/>
  <c r="E14" i="6"/>
  <c r="F14" i="6"/>
  <c r="B14" i="6"/>
  <c r="B6" i="6"/>
  <c r="C6" i="6"/>
  <c r="D6" i="6"/>
  <c r="E6" i="6"/>
  <c r="F6" i="6"/>
  <c r="B7" i="6"/>
  <c r="C7" i="6"/>
  <c r="D7" i="6"/>
  <c r="E7" i="6"/>
  <c r="F7" i="6"/>
  <c r="B8" i="6"/>
  <c r="C8" i="6"/>
  <c r="D8" i="6"/>
  <c r="E8" i="6"/>
  <c r="F8" i="6"/>
  <c r="B9" i="6"/>
  <c r="C9" i="6"/>
  <c r="D9" i="6"/>
  <c r="E9" i="6"/>
  <c r="F9" i="6"/>
  <c r="C5" i="6"/>
  <c r="D5" i="6"/>
  <c r="E5" i="6"/>
  <c r="F5" i="6"/>
  <c r="B5" i="6"/>
  <c r="F21" i="1"/>
  <c r="F20" i="1"/>
  <c r="B35" i="5"/>
  <c r="B42" i="5"/>
  <c r="D15" i="3"/>
  <c r="E15" i="3"/>
  <c r="F15" i="3"/>
  <c r="C15" i="3"/>
  <c r="B15" i="3"/>
  <c r="D14" i="2"/>
  <c r="C14" i="2"/>
  <c r="B14" i="2"/>
  <c r="D41" i="2"/>
  <c r="C41" i="2"/>
  <c r="B41" i="2"/>
  <c r="B13" i="4"/>
  <c r="B11" i="4"/>
  <c r="B5" i="3"/>
  <c r="B24" i="3"/>
  <c r="C11" i="3"/>
  <c r="D11" i="3"/>
  <c r="E11" i="3"/>
  <c r="B11" i="3"/>
  <c r="C9" i="2"/>
  <c r="D9" i="2"/>
  <c r="B9" i="2"/>
  <c r="F15" i="1"/>
  <c r="E15" i="1"/>
  <c r="B16" i="1"/>
  <c r="B15" i="1"/>
  <c r="B13" i="1"/>
  <c r="B21" i="2"/>
  <c r="B38" i="5"/>
  <c r="E8" i="1" s="1"/>
  <c r="B36" i="5"/>
  <c r="B22" i="4"/>
  <c r="B19" i="4"/>
  <c r="B21" i="4" s="1"/>
  <c r="B12" i="4"/>
  <c r="B14" i="4" s="1"/>
  <c r="B30" i="4" s="1"/>
  <c r="C24" i="3"/>
  <c r="C25" i="3" s="1"/>
  <c r="C26" i="3" s="1"/>
  <c r="D24" i="3"/>
  <c r="D25" i="3" s="1"/>
  <c r="D26" i="3" s="1"/>
  <c r="B25" i="3"/>
  <c r="B26" i="3" s="1"/>
  <c r="B3" i="3"/>
  <c r="C26" i="2"/>
  <c r="D26" i="2"/>
  <c r="B26" i="2"/>
  <c r="C27" i="2"/>
  <c r="D27" i="2"/>
  <c r="B27" i="2"/>
  <c r="D4" i="2"/>
  <c r="C4" i="2"/>
  <c r="C21" i="2"/>
  <c r="D21" i="2"/>
  <c r="C35" i="2"/>
  <c r="C27" i="3" s="1"/>
  <c r="D35" i="2"/>
  <c r="D27" i="3" s="1"/>
  <c r="B35" i="2"/>
  <c r="B27" i="3" s="1"/>
  <c r="C6" i="2"/>
  <c r="D6" i="2"/>
  <c r="B6" i="2"/>
  <c r="B34" i="5" l="1"/>
  <c r="B5" i="4"/>
  <c r="B7" i="4" s="1"/>
  <c r="B28" i="4" s="1"/>
  <c r="E13" i="1"/>
  <c r="B14" i="3"/>
  <c r="B13" i="3"/>
  <c r="B9" i="3"/>
  <c r="B23" i="4"/>
  <c r="B25" i="4" s="1"/>
  <c r="B31" i="4" s="1"/>
  <c r="B24" i="4"/>
  <c r="B29" i="4" s="1"/>
  <c r="B32" i="4" s="1"/>
  <c r="C3" i="3"/>
  <c r="B12" i="5" l="1"/>
  <c r="B12" i="1"/>
  <c r="B8" i="3"/>
  <c r="E14" i="1"/>
  <c r="C14" i="3"/>
  <c r="C13" i="3"/>
  <c r="B7" i="5"/>
  <c r="F7" i="5"/>
  <c r="E7" i="5"/>
  <c r="D7" i="5"/>
  <c r="C7" i="5"/>
  <c r="C9" i="3"/>
  <c r="D3" i="3"/>
  <c r="C5" i="3"/>
  <c r="C8" i="3" s="1"/>
  <c r="D14" i="3" l="1"/>
  <c r="D13" i="3"/>
  <c r="D16" i="3"/>
  <c r="D9" i="3"/>
  <c r="D5" i="3"/>
  <c r="D8" i="3" s="1"/>
  <c r="D17" i="3" s="1"/>
  <c r="D5" i="5" s="1"/>
  <c r="D8" i="5" s="1"/>
  <c r="E3" i="3"/>
  <c r="E14" i="3" l="1"/>
  <c r="E13" i="3"/>
  <c r="E16" i="3"/>
  <c r="E9" i="3"/>
  <c r="E5" i="3"/>
  <c r="E8" i="3" s="1"/>
  <c r="E17" i="3" s="1"/>
  <c r="E5" i="5" s="1"/>
  <c r="E8" i="5" s="1"/>
  <c r="F3" i="3"/>
  <c r="F13" i="1" l="1"/>
  <c r="F14" i="3"/>
  <c r="F13" i="3"/>
  <c r="F5" i="3"/>
  <c r="F11" i="3" s="1"/>
  <c r="B21" i="5" s="1"/>
  <c r="B23" i="5" s="1"/>
  <c r="B24" i="5" s="1"/>
  <c r="B28" i="5" s="1"/>
  <c r="F16" i="3"/>
  <c r="F9" i="3"/>
  <c r="F8" i="3" l="1"/>
  <c r="F14" i="1"/>
  <c r="F17" i="3"/>
  <c r="F5" i="5" l="1"/>
  <c r="F16" i="1"/>
  <c r="F8" i="5"/>
  <c r="B16" i="5"/>
  <c r="B17" i="5" s="1"/>
  <c r="B20" i="1" l="1"/>
  <c r="B27" i="5"/>
  <c r="B16" i="3"/>
  <c r="B17" i="3"/>
  <c r="B5" i="5"/>
  <c r="B8" i="5"/>
  <c r="C16" i="3"/>
  <c r="C17" i="3"/>
  <c r="C5" i="5"/>
  <c r="C8" i="5"/>
  <c r="B9" i="5"/>
  <c r="B19" i="1" s="1"/>
  <c r="B33" i="5"/>
  <c r="E21" i="1" l="1"/>
  <c r="E20" i="1"/>
  <c r="B29" i="5"/>
  <c r="B30" i="5"/>
  <c r="E16" i="1"/>
  <c r="B18" i="5"/>
  <c r="B21" i="1" s="1"/>
  <c r="E5" i="1"/>
  <c r="B37" i="5"/>
  <c r="E6" i="1"/>
  <c r="B39" i="5" l="1"/>
  <c r="E9" i="1" s="1"/>
  <c r="E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Cole Conklin</author>
  </authors>
  <commentList>
    <comment ref="D3" authorId="0" shapeId="0" xr:uid="{E586A567-24F7-4850-9159-92616CFC17B2}">
      <text>
        <r>
          <rPr>
            <sz val="9"/>
            <color indexed="81"/>
            <rFont val="Tahoma"/>
            <family val="2"/>
          </rPr>
          <t xml:space="preserve">Source: AstraZeneca Annual Report &amp; Form 20-F Information 2025, Consolidated Statement of Comprehensive Income, p.125.
Total Revenue: 2025 $58,739m; 2024 $54,073m; 2023 $45,811m.
</t>
        </r>
      </text>
    </comment>
    <comment ref="D5" authorId="0" shapeId="0" xr:uid="{A183864D-723D-4B7A-B573-36355DA3F0D3}">
      <text>
        <r>
          <rPr>
            <sz val="9"/>
            <color indexed="81"/>
            <rFont val="Tahoma"/>
            <family val="2"/>
          </rPr>
          <t>Source: AstraZeneca Annual Report &amp; Form 20-F Information 2025, Consolidated Statement of Comprehensive Income, p.125.
Operating Profit: 2025 $13,743m; 2024 $10,003m; 2023 $8,193m.</t>
        </r>
      </text>
    </comment>
    <comment ref="D7" authorId="0" shapeId="0" xr:uid="{82186BFB-E390-4B8B-BD17-2A4F8360508D}">
      <text>
        <r>
          <rPr>
            <sz val="9"/>
            <color indexed="81"/>
            <rFont val="Tahoma"/>
            <family val="2"/>
          </rPr>
          <t>Source: AstraZeneca Annual Report &amp; Form 20-F Information 2025, Consolidated Statement of Comprehensive Income, p.125.
Tax expense is recorded as a negative amount in row 7. The tax-rate calculation in row 26 reverses the sign to obtain a positive expense magnitude, which is divided by profit before tax in row 27. This is the reported effective tax rate, not an operating cash-tax rate.</t>
        </r>
      </text>
    </comment>
    <comment ref="D8" authorId="0" shapeId="0" xr:uid="{235F11C1-885F-413B-97A8-0CE4294396D6}">
      <text>
        <r>
          <rPr>
            <sz val="9"/>
            <color indexed="81"/>
            <rFont val="Tahoma"/>
            <family val="2"/>
          </rPr>
          <t>Source: AstraZeneca Annual Report &amp; Form 20-F Information 2025, Consolidated Statement of Comprehensive Income, p.125.
Profit for the period: 2025 $10,233m; 2024 $7,041m; 2023 $5,961m.</t>
        </r>
      </text>
    </comment>
    <comment ref="D9" authorId="0" shapeId="0" xr:uid="{03DE4B13-5B91-4DFA-B2B3-791C953FDBF2}">
      <text>
        <r>
          <rPr>
            <sz val="9"/>
            <color indexed="81"/>
            <rFont val="Tahoma"/>
            <family val="2"/>
          </rPr>
          <t>Source: AstraZeneca Annual Report &amp; Form 20-F Information 2025, Note 3 Operating Profit, p.143.
Depreciation and amortisation used in the model excludes impairment and is calculated from depreciation of PP&amp;E, depreciation of right-of-use assets and amortisation of intangible assets.</t>
        </r>
      </text>
    </comment>
    <comment ref="D10" authorId="0" shapeId="0" xr:uid="{27679D3C-5EA3-4531-8650-D3F43E1BF66A}">
      <text>
        <r>
          <rPr>
            <sz val="9"/>
            <color indexed="81"/>
            <rFont val="Tahoma"/>
            <family val="2"/>
          </rPr>
          <t>Source: AstraZeneca Annual Report &amp; Form 20-F Information 2025, Consolidated Statement of Cash Flows, p.128.
Capital investment is defined in this model as purchases of PP&amp;E plus purchases of intangible assets, less proceeds from disposals of intangible assets. The supporting calculation is in Forecast!B21:D25. Historical amounts are shown as negative cash outflows. This measure excludes business acquisitions and is not limited to tangible capital expenditure.</t>
        </r>
      </text>
    </comment>
    <comment ref="D11" authorId="0" shapeId="0" xr:uid="{E7E8B8B8-5E4A-4396-95C0-7681B06F56A3}">
      <text>
        <r>
          <rPr>
            <sz val="9"/>
            <color indexed="81"/>
            <rFont val="Tahoma"/>
            <family val="2"/>
          </rPr>
          <t>Source: AstraZeneca Annual Report &amp; Form 20-F Information 2025, Consolidated Statement of Cash Flows, p.128.
Net cash inflow from operating activities: 2025 $14,575m; 2024 $11,861m; 2023 $10,345m.</t>
        </r>
      </text>
    </comment>
    <comment ref="D12" authorId="0" shapeId="0" xr:uid="{15F8CA3C-47D9-4A59-B075-52BFBDD448C1}">
      <text>
        <r>
          <rPr>
            <sz val="9"/>
            <color indexed="81"/>
            <rFont val="Tahoma"/>
            <family val="2"/>
          </rPr>
          <t>Source: AstraZeneca Annual Report &amp; Form 20-F Information 2025, Note 18, p.156.
Cash and cash equivalents before deducting bank overdrafts: 2023 $5,840m; 2024 $5,488m; 2025 $5,711m. This consistent balance-sheet definition avoids double-counting overdrafts, which are included in gross debt.</t>
        </r>
      </text>
    </comment>
    <comment ref="D13" authorId="0" shapeId="0" xr:uid="{C899903D-3E08-4DF8-B5DE-36600A6309D2}">
      <text>
        <r>
          <rPr>
            <sz val="9"/>
            <color indexed="81"/>
            <rFont val="Tahoma"/>
            <family val="2"/>
          </rPr>
          <t>Source: AstraZeneca Annual Report &amp; Form 20-F Information 2025, Note 19, Interest-bearing Loans and Borrowings, and Note 9, Leases.
The 2025 gross-debt input is $29,622m and includes interest-bearing borrowings, bank overdrafts and lease liabilities. The same debt definition is used in the WACC capital structure and the enterprise-to-equity bridge.</t>
        </r>
      </text>
    </comment>
    <comment ref="D14" authorId="0" shapeId="0" xr:uid="{AB5E9A19-9116-4C71-A4F8-7A53DAF09A11}">
      <text>
        <r>
          <rPr>
            <sz val="9"/>
            <color indexed="81"/>
            <rFont val="Tahoma"/>
            <family val="2"/>
          </rPr>
          <t>Adjusted NWC equals inventories plus current trade and other receivables, less current trade and other payables and current provisions, with current contingent consideration and the Acerta share-purchase liability added back.
Rows 39–41 remove these identified acquisition liabilities. Other current payables and provisions remain included, so this remains a broad balance-sheet proxy rather than a fully isolated measure of recurring operating working capital.
Sources for the adjustments: AstraZeneca 2024 Annual Report, Note 20, p.181; 2025 Annual Report, Note 20, p.159.</t>
        </r>
      </text>
    </comment>
    <comment ref="B25" authorId="0" shapeId="0" xr:uid="{E43E2EB5-2414-4EA9-A5A8-BDCC3644CB9B}">
      <text>
        <r>
          <rPr>
            <sz val="9"/>
            <color indexed="81"/>
            <rFont val="Tahoma"/>
            <family val="2"/>
          </rPr>
          <t>Source: AstraZeneca Annual Report &amp; Form 20-F Information 2025, Consolidated Statement of Comprehensive Income, p.125.
Reported profit before tax for 2023–2025 is used as the denominator in the historical effective tax-rate calculation.</t>
        </r>
      </text>
    </comment>
    <comment ref="B31" authorId="0" shapeId="0" xr:uid="{2873F6AC-FD91-4539-A63B-0E77AB663E4D}">
      <text>
        <r>
          <rPr>
            <sz val="9"/>
            <color indexed="81"/>
            <rFont val="Tahoma"/>
            <family val="2"/>
          </rPr>
          <t>Applies to B31:D34.
Sources: AstraZeneca 2024 Annual Report, Consolidated Statement of Financial Position, p.149, for 2023 balances; AstraZeneca 2025 Annual Report, Consolidated Statement of Financial Position, p.126, for 2024–2025 balances.
These are inventories, current trade and other receivables, current trade and other payables, and current provisions. Payables and provisions are entered as negative amounts.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Cole Conklin</author>
  </authors>
  <commentList>
    <comment ref="B4" authorId="0" shapeId="0" xr:uid="{83088C6C-DDF5-453F-8DF6-FBF2E229DE97}">
      <text>
        <r>
          <rPr>
            <sz val="9"/>
            <color indexed="81"/>
            <rFont val="Tahoma"/>
            <family val="2"/>
          </rPr>
          <t>Model assumption: 2026 revenue growth of 7.0%, informed by AstraZeneca’s mid-to-high single-digit revenue growth guidance published in its FY2025 results on 10 February 2026. The exact 7.0% rate is a modelling judgement, not an explicit company forecast. Guidance is at constant exchange rates; the model applies this rate to reported USD revenue and assumes no separate foreign-exchange contribution. Use of subsequently published guidance is consistent with the retrospective valuation approach.
Source: AstraZeneca, Full Year and Q4 2025 Results, Guidance section.</t>
        </r>
      </text>
    </comment>
    <comment ref="C4" authorId="0" shapeId="0" xr:uid="{71E7E980-200F-4228-8055-91326C0157C0}">
      <text>
        <r>
          <rPr>
            <sz val="9"/>
            <color indexed="81"/>
            <rFont val="Tahoma"/>
            <family val="2"/>
          </rPr>
          <t>Model assumption: 2027 revenue growth of 6.5%, representing a 0.5-percentage-point reduction from 2026. This begins an assumed gradual moderation in growth as the revenue base expands. The rate and pace of moderation are modelling judgements, not company guidance. No separate foreign-exchange contribution is modelled.</t>
        </r>
      </text>
    </comment>
    <comment ref="D4" authorId="0" shapeId="0" xr:uid="{331D6FD8-D249-459A-AE67-68902A18F7BF}">
      <text>
        <r>
          <rPr>
            <sz val="9"/>
            <color indexed="81"/>
            <rFont val="Tahoma"/>
            <family val="2"/>
          </rPr>
          <t>Model assumption: 2028 revenue growth of 6.0%, continuing the assumed annual moderation of 0.5 percentage points as the revenue base expands. This is a simplified forecast assumption, not company guidance or a product-level revenue forecast. No separate foreign-exchange contribution is modelled.</t>
        </r>
      </text>
    </comment>
    <comment ref="E4" authorId="0" shapeId="0" xr:uid="{02C3A469-0D9F-40FB-B180-A353107E35A3}">
      <text>
        <r>
          <rPr>
            <sz val="9"/>
            <color indexed="81"/>
            <rFont val="Tahoma"/>
            <family val="2"/>
          </rPr>
          <t>Model assumption: 2029 revenue growth of 5.5%, continuing the assumed annual moderation of 0.5 percentage points as the revenue base expands. This is a simplified forecast assumption, not company guidance or a product-level revenue forecast. No separate foreign-exchange contribution is modelled.</t>
        </r>
      </text>
    </comment>
    <comment ref="F4" authorId="0" shapeId="0" xr:uid="{5A62B999-B18D-4113-A0AE-AD7BAD9C0478}">
      <text>
        <r>
          <rPr>
            <sz val="9"/>
            <color indexed="81"/>
            <rFont val="Tahoma"/>
            <family val="2"/>
          </rPr>
          <t>Model assumption: 2030 revenue growth of 5.0%, completing the gradual moderation from 7.0% in 2026. This is a modelling judgement, not company guidance. No separate foreign-exchange contribution is modelled. The 5.0% rate applies only to 2030; cash flows beyond the explicit forecast period use the separate 2.5% terminal growth assumption.</t>
        </r>
      </text>
    </comment>
    <comment ref="B6" authorId="0" shapeId="0" xr:uid="{F816140C-B4B1-493E-A840-A3FD52D4A094}">
      <text>
        <r>
          <rPr>
            <sz val="9"/>
            <color indexed="81"/>
            <rFont val="Tahoma"/>
            <family val="2"/>
          </rPr>
          <t>Model assumption: 2026 reported EBIT margin of 24.0%, compared with approximately 23.4% in FY2025. This assumes a modest improvement in operating profitability. It is a top-down modelling judgement, not company guidance or the output of a detailed operating-cost forecast.
Historical reference: AstraZeneca FY2025 reported operating profit of $13,743m divided by revenue of $58,739m.</t>
        </r>
      </text>
    </comment>
    <comment ref="C6" authorId="0" shapeId="0" xr:uid="{28C1E2EA-0B8B-4B4A-BB06-53D02F1AD4C5}">
      <text>
        <r>
          <rPr>
            <sz val="9"/>
            <color indexed="81"/>
            <rFont val="Tahoma"/>
            <family val="2"/>
          </rPr>
          <t>Model assumption: 2027 reported EBIT margin of 24.25%, an increase of 0.25 percentage points from 2026. This continues the assumed modest improvement in operating profitability. The precise increase is a modelling judgement, not company guidance.</t>
        </r>
      </text>
    </comment>
    <comment ref="D6" authorId="0" shapeId="0" xr:uid="{00DAFE64-8814-4DD7-B644-5C285636DCD6}">
      <text>
        <r>
          <rPr>
            <sz val="9"/>
            <color indexed="81"/>
            <rFont val="Tahoma"/>
            <family val="2"/>
          </rPr>
          <t>Model assumption: 2028 reported EBIT margin of 24.5%, an increase of 0.25 percentage points from 2027. This is the final year of assumed margin expansion, taking profitability approximately 1.1 percentage points above FY2025. The assumption is not company guidance.</t>
        </r>
      </text>
    </comment>
    <comment ref="E6" authorId="0" shapeId="0" xr:uid="{5F8F6AFE-8BDF-4C29-9B78-5EC1E9E3E3F3}">
      <text>
        <r>
          <rPr>
            <sz val="9"/>
            <color indexed="81"/>
            <rFont val="Tahoma"/>
            <family val="2"/>
          </rPr>
          <t>Model assumption: 2029 reported EBIT margin remains at 24.5%. No further margin expansion is assumed, with operating profit growing in proportion to revenue. This is a modelling judgement, not company guidance.</t>
        </r>
      </text>
    </comment>
    <comment ref="F6" authorId="0" shapeId="0" xr:uid="{03686361-06E4-4A6F-A01C-75FB4D427B65}">
      <text>
        <r>
          <rPr>
            <sz val="9"/>
            <color indexed="81"/>
            <rFont val="Tahoma"/>
            <family val="2"/>
          </rPr>
          <t>Model assumption: 2030 reported EBIT margin remains at 24.5%. No further margin expansion is assumed. This margin determines the final forecast year's EBIT and contributes to the cash flow used in the terminal-value calculation. Its valuation impact is tested in the 2030 EBIT-margin sensitivity analysis.</t>
        </r>
      </text>
    </comment>
    <comment ref="B7" authorId="0" shapeId="0" xr:uid="{12B15783-1B2A-4A9A-AD6E-4C8E00EE4571}">
      <text>
        <r>
          <rPr>
            <sz val="9"/>
            <color indexed="81"/>
            <rFont val="Tahoma"/>
            <family val="2"/>
          </rPr>
          <t>Applies to B7:F7,
Model assumption: an 18.0% tax rate is applied to forecast EBIT throughout 2026–2030 to estimate NOPAT.
This is close to the FY2025 reported effective tax rate of approximately 17.5% and equals the lower end of management’s 2026 core tax-rate guidance of 18–22%. Core tax guidance and the reported effective tax rate are reference points; neither is a direct forecast of tax on unlevered operating profit.
The model does not separately forecast deferred tax, jurisdictional tax differences or cash-tax timing.
Source: AstraZeneca FY2025 financial statements and FY2025 results announcement, Guidance section.</t>
        </r>
      </text>
    </comment>
    <comment ref="B10" authorId="0" shapeId="0" xr:uid="{2D813AED-3F8C-4B19-8C8B-0807217D47EA}">
      <text>
        <r>
          <rPr>
            <sz val="9"/>
            <color indexed="81"/>
            <rFont val="Tahoma"/>
            <family val="2"/>
          </rPr>
          <t>Applies B10:F10,
Model assumption: depreciation and amortisation is forecast at 9.5% of revenue throughout 2026–2030, close to the FY2025 model ratio of approximately 9.35%.
D&amp;A includes depreciation of PP&amp;E and right-of-use assets and amortisation of intangible assets. Impairments are excluded. The percentage-of-revenue approach replaces a detailed asset and amortisation schedule.
D&amp;A exceeds the model’s 8.0% capital-investment assumption. The sustainability of this relationship, particularly beyond 2030, is a limitation requiring separate consideration.</t>
        </r>
      </text>
    </comment>
    <comment ref="B11" authorId="0" shapeId="0" xr:uid="{6357C054-C89C-4B73-8A97-25F53DCD1C46}">
      <text>
        <r>
          <rPr>
            <sz val="9"/>
            <color indexed="81"/>
            <rFont val="Tahoma"/>
            <family val="2"/>
          </rPr>
          <t>Model EBITDA equals reported EBIT plus the model’s depreciation and amortisation charge. Impairment charges are not separately added back.
This definition is used consistently in the workbook’s historical and forecast valuation multiples. It may differ from company-reported or data-provider EBITDA definitions, so externally sourced multiples require a definition check before comparison.</t>
        </r>
      </text>
    </comment>
    <comment ref="B12" authorId="0" shapeId="0" xr:uid="{DE81EDA0-7CAB-463F-9D3F-37E51D06BAAA}">
      <text>
        <r>
          <rPr>
            <sz val="9"/>
            <color indexed="81"/>
            <rFont val="Tahoma"/>
            <family val="2"/>
          </rPr>
          <t>Applies to B12:F12.
Model assumption: capital investment is forecast at 8.0% of revenue throughout 2026–2030. This is near the model’s 2023–2024 ratios of 7.61% and 8.25%, but below the 2025 ratio of 9.82%. It therefore assumes lower investment intensity than in 2025; this is a modelling judgement, not company guidance.
Capital investment comprises PP&amp;E purchases plus intangible purchases less intangible-disposal proceeds. It excludes business acquisitions and does not explicitly forecast additions to right-of-use assets.
Forecast investment is shown as a positive amount and subtracted in FCFF. Historical investment is shown as a negative cash outflow.</t>
        </r>
      </text>
    </comment>
    <comment ref="B15" authorId="0" shapeId="0" xr:uid="{D5392E2E-C4C7-4ABA-8E90-F89FE59CE7EC}">
      <text>
        <r>
          <rPr>
            <sz val="9"/>
            <color indexed="81"/>
            <rFont val="Tahoma"/>
            <family val="2"/>
          </rPr>
          <t>Applies to B15:F15.
Forecast adjusted NWC is held at the FY2025 adjusted NWC-to-revenue ratio of approximately −6.62%. The ratio is calculated from the historical schedule rather than entered manually.
Identified contingent acquisition consideration and the Acerta share-purchase liability are excluded. Other current payables and provisions remain included. A negative change in adjusted NWC represents a cash release.</t>
        </r>
      </text>
    </comment>
    <comment ref="B17" authorId="0" shapeId="0" xr:uid="{16DBEB80-21AA-4444-A847-B6A557B253BA}">
      <text>
        <r>
          <rPr>
            <sz val="9"/>
            <color indexed="81"/>
            <rFont val="Tahoma"/>
            <family val="2"/>
          </rPr>
          <t>FCFF is calculated as EBIT × (1 − tax rate) + depreciation and amortisation − capital investment − change in net working capital.
A positive change in NWC uses cash; a negative change releases cash. This is a simplified operating cash-flow build rather than a full cash-flow-statement forecast. It does not separately model acquisitions, other non-cash adjustments, or a lease-asset reinvestment schedule.</t>
        </r>
      </text>
    </comment>
    <comment ref="B21" authorId="0" shapeId="0" xr:uid="{32C7D82D-134B-4E31-9B69-75919C36C173}">
      <text>
        <r>
          <rPr>
            <sz val="9"/>
            <color indexed="81"/>
            <rFont val="Tahoma"/>
            <family val="2"/>
          </rPr>
          <t>Applies to B21:D23
Source: AstraZeneca Annual Report &amp; Form 20-F Information 2025, Consolidated Statement of Cash Flows, p.128.
This source covers the 2023–2025 PP&amp;E purchases, intangible-asset purchases and intangible-disposal proceeds in rows 21–23. Purchases are entered as positive investment amounts; disposal proceeds are entered as negative amounts to deduct them from investment.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Cole Conklin</author>
  </authors>
  <commentList>
    <comment ref="B4" authorId="0" shapeId="0" xr:uid="{C093AD13-E323-433A-8D0C-4A28A1518DDC}">
      <text>
        <r>
          <rPr>
            <sz val="9"/>
            <color indexed="81"/>
            <rFont val="Tahoma"/>
            <family val="2"/>
          </rPr>
          <t>Source: U.S. Department of the Treasury, Daily Treasury Par Yield Curve Rates. 31 December 2025, 10-year Treasury yield: 4.18%. Used as the risk-free rate for the CAPM calculation.</t>
        </r>
      </text>
    </comment>
    <comment ref="E4" authorId="0" shapeId="0" xr:uid="{6B6CAF6F-EA73-4563-939D-DE1943B39F86}">
      <text>
        <r>
          <rPr>
            <sz val="9"/>
            <color indexed="81"/>
            <rFont val="Tahoma"/>
            <family val="2"/>
          </rPr>
          <t>Source: Aswath Damodaran, NYU Stern, Betas by Sector (US), January 2026, Drugs (Pharmaceutical).
The industry unlevered beta is 0.89 across 228 firms. The model uses the unlevered-beta column, not the cash-corrected unlevered-beta column.
https://pages.stern.nyu.edu/~adamodar/New_Home_Page/datafile/Betas.html</t>
        </r>
      </text>
    </comment>
    <comment ref="B5" authorId="0" shapeId="0" xr:uid="{22F0FCFD-CF1B-4074-B609-9C7F69FCBFA7}">
      <text>
        <r>
          <rPr>
            <sz val="9"/>
            <color indexed="81"/>
            <rFont val="Tahoma"/>
            <family val="2"/>
          </rPr>
          <t>Levered beta is calculated as industry unlevered beta × [1 + (1 − tax rate) × gross debt / market equity].
The formula uses the unlevered beta in E4 and updates when the model’s tax or capital-structure inputs change. Full precision is retained. This is an industry-based proxy, not an observed AstraZeneca share-price beta.</t>
        </r>
      </text>
    </comment>
    <comment ref="B6" authorId="0" shapeId="0" xr:uid="{0AEC3D85-A3AE-484A-B1E6-6B4A71082F91}">
      <text>
        <r>
          <rPr>
            <sz val="9"/>
            <color indexed="81"/>
            <rFont val="Tahoma"/>
            <family val="2"/>
          </rPr>
          <t>Source: Aswath Damodaran, NYU Stern, Implied Equity Risk Premiums. U.S. implied equity risk premium at year-end 2025: 4.23%. Used as the equity risk premium in the CAPM calculation.</t>
        </r>
      </text>
    </comment>
    <comment ref="B10" authorId="0" shapeId="0" xr:uid="{258AE4D1-7984-4544-BB64-7D1B50B28C35}">
      <text>
        <r>
          <rPr>
            <sz val="9"/>
            <color indexed="81"/>
            <rFont val="Tahoma"/>
            <family val="2"/>
          </rPr>
          <t>Source: AstraZeneca Annual Report &amp; Form 20-F Information 2025, Note 4, Finance Income and Expense, p.143.
The $1,335m input is “Interest on debt, leases and other financing costs”. It is not total finance expense or net finance expense. It is used with year-end gross debt to estimate a historical borrowing-cost proxy.</t>
        </r>
      </text>
    </comment>
    <comment ref="B11" authorId="0" shapeId="0" xr:uid="{1575C67F-2A52-4EE6-81ED-1BCD0577F0AB}">
      <text>
        <r>
          <rPr>
            <sz val="9"/>
            <color indexed="81"/>
            <rFont val="Tahoma"/>
            <family val="2"/>
          </rPr>
          <t>Gross debt includes lease liabilities and bank overdrafts. Its carrying value is used as a proxy for the market value of debt in the capital-structure weights.</t>
        </r>
      </text>
    </comment>
    <comment ref="B12" authorId="0" shapeId="0" xr:uid="{39C0AD1C-44BE-4AD1-9683-7EDCF5563ABC}">
      <text>
        <r>
          <rPr>
            <sz val="9"/>
            <color indexed="81"/>
            <rFont val="Tahoma"/>
            <family val="2"/>
          </rPr>
          <t>The pre-tax cost of debt is estimated as FY2025 interest on debt, leases and other financing costs divided by year-end gross debt.
This is a historical accounting proxy. It uses closing rather than average debt and does not directly measure the yield or marginal borrowing rate available at the valuation date.</t>
        </r>
      </text>
    </comment>
    <comment ref="B13" authorId="0" shapeId="0" xr:uid="{C9B0F0DF-C435-4601-AF0B-00BF06ABD27E}">
      <text>
        <r>
          <rPr>
            <sz val="9"/>
            <color indexed="81"/>
            <rFont val="Tahoma"/>
            <family val="2"/>
          </rPr>
          <t>Model assumption. An 18.0% tax rate is applied to calculate the after-tax cost of debt in the WACC. This is consistent with the forecast tax rate used in the DCF.</t>
        </r>
      </text>
    </comment>
    <comment ref="B17" authorId="0" shapeId="0" xr:uid="{21F101AC-72F0-43A4-8EE2-6383B1D56A42}">
      <text>
        <r>
          <rPr>
            <sz val="9"/>
            <color indexed="81"/>
            <rFont val="Tahoma"/>
            <family val="2"/>
          </rPr>
          <t>Source: London Stock Exchange historical market data. AstraZeneca plc (AZN) closing share price on 31 December 2025: £137.90 per share. Used to calculate market capitalisation for the WACC.</t>
        </r>
      </text>
    </comment>
    <comment ref="B18" authorId="0" shapeId="0" xr:uid="{F62E2916-093D-4584-B531-88FEAACAE14F}">
      <text>
        <r>
          <rPr>
            <sz val="9"/>
            <color indexed="81"/>
            <rFont val="Tahoma"/>
            <family val="2"/>
          </rPr>
          <t>Source: AstraZeneca Annual Report &amp; Form 20-F Information 2025, Note 24, Share Capital, p.169.
The input is 1,550,907,927 issued ordinary shares at 31 December 2025. It is a point-in-time issued share count, not the weighted-average or diluted share count used for EPS.
The model uses this count as a simplifying denominator without separately adjusting for shares held by employee trusts or potential dilution.</t>
        </r>
      </text>
    </comment>
    <comment ref="B20" authorId="0" shapeId="0" xr:uid="{A13ABC2E-A992-4672-9695-999DBA311997}">
      <text>
        <r>
          <rPr>
            <b/>
            <sz val="9"/>
            <color indexed="81"/>
            <rFont val="Tahoma"/>
            <family val="2"/>
          </rPr>
          <t xml:space="preserve">Source: </t>
        </r>
        <r>
          <rPr>
            <sz val="9"/>
            <color indexed="81"/>
            <rFont val="Tahoma"/>
            <family val="2"/>
          </rPr>
          <t>Bank of England, daily spot exchange rate series XUDLUSS. GBP/USD exchange rate on 31 December 2025: 1.3451 USD per GBP. Used to convert the GBP market capitalisation into USD for the WACC capital structure calculation.</t>
        </r>
      </text>
    </comment>
    <comment ref="B32" authorId="0" shapeId="0" xr:uid="{05892D8A-884F-42B2-AFCF-CE75A110FF5D}">
      <text>
        <r>
          <rPr>
            <sz val="9"/>
            <color indexed="81"/>
            <rFont val="Tahoma"/>
            <family val="2"/>
          </rPr>
          <t>WACC combines the CAPM cost of equity and the after-tax historical cost-of-debt proxy, weighted by market equity and the carrying value of gross debt.
USD inputs are used to match the currency of the forecast cash flows. A US industry beta and US equity risk premium are used as simplifying proxies for AstraZeneca’s global business. Capital-structure weights and WACC are held constant throughout the valuation.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Cole Conklin</author>
  </authors>
  <commentList>
    <comment ref="B6" authorId="0" shapeId="0" xr:uid="{7CEBC25E-75F0-437F-85CE-E27490294601}">
      <text>
        <r>
          <rPr>
            <sz val="9"/>
            <color indexed="81"/>
            <rFont val="Tahoma"/>
            <family val="2"/>
          </rPr>
          <t>Applies to B6:F6,
The model uses year-end discounting from 31 December 2025. Forecast cash flows for 2026–2030 are assumed to occur at each year-end and are discounted for one to five years respectively. No mid-year convention is applied.</t>
        </r>
      </text>
    </comment>
    <comment ref="B13" authorId="0" shapeId="0" xr:uid="{322A99CA-4DC6-4AA6-B8C7-CEC74D8BD106}">
      <text>
        <r>
          <rPr>
            <sz val="9"/>
            <color indexed="81"/>
            <rFont val="Tahoma"/>
            <family val="2"/>
          </rPr>
          <t>Model assumption: terminal FCFF grows at 2.5% per year in nominal USD beyond 2030. This represents an assumed mature, long-term growth rate, not company guidance.
The rate must remain below WACC for the Gordon Growth calculation to produce a meaningful positive terminal value. Its effect is tested in the WACC and terminal-growth sensitivity analysis.</t>
        </r>
      </text>
    </comment>
    <comment ref="B16" authorId="0" shapeId="0" xr:uid="{922C8E57-F446-4AD3-879C-46F5DAF5A9E9}">
      <text>
        <r>
          <rPr>
            <sz val="9"/>
            <color indexed="81"/>
            <rFont val="Tahoma"/>
            <family val="2"/>
          </rPr>
          <t>Terminal value at the end of 2030 equals 2030 FCFF × (1 + terminal growth) / (WACC − terminal growth). It is then discounted to 31 December 2025.
The calculation grows the final forecast FCFF directly. It does not separately rebuild a normalised 2031 income statement, working-capital balance or reinvestment requirement. Terminal value therefore depends on whether the final forecast cash flow is a sustainable base.</t>
        </r>
      </text>
    </comment>
    <comment ref="B22" authorId="0" shapeId="0" xr:uid="{0D2F6A8B-0017-407A-AE32-EC8D5C6204CA}">
      <text>
        <r>
          <rPr>
            <sz val="9"/>
            <color indexed="81"/>
            <rFont val="Tahoma"/>
            <family val="2"/>
          </rPr>
          <t>Model assumption: a 12.0× multiple is applied to 2030 model EBITDA to calculate an alternative terminal value, which is discounted using the same WACC and timing as the main DCF.
This is an illustrative exit-multiple scenario. Until a comparable historical or peer multiple is documented, it should not be treated as independent market evidence validating the perpetuity-growth valuation.</t>
        </r>
      </text>
    </comment>
    <comment ref="B34" authorId="0" shapeId="0" xr:uid="{2AAF7DAA-B8CD-4D3B-9BF4-A0054BB85FD9}">
      <text>
        <r>
          <rPr>
            <sz val="9"/>
            <color indexed="81"/>
            <rFont val="Tahoma"/>
            <family val="2"/>
          </rPr>
          <t>Net debt is defined here as gross interest-bearing debt less cash and cash equivalents. This excludes adjustments for other investments and net derivatives included in AstraZeneca’s reported net debt.</t>
        </r>
      </text>
    </comment>
    <comment ref="B35" authorId="0" shapeId="0" xr:uid="{769B3608-8D9C-445E-B207-A80E6A46E39C}">
      <text>
        <r>
          <rPr>
            <sz val="9"/>
            <color indexed="81"/>
            <rFont val="Tahoma"/>
            <family val="2"/>
          </rPr>
          <t>Model equity value equals enterprise value less gross debt plus cash, less outstanding acquisition contingent consideration.
The total deduction is calculated in B42. The bridge does not separately adjust for other investments, net derivatives, non-controlling interests, pension deficits or other acquisition-related liabilities. These are simplifying exclusions and are not necessarily immaterial.</t>
        </r>
      </text>
    </comment>
    <comment ref="B37" authorId="0" shapeId="0" xr:uid="{B1284DA3-B670-4232-90D3-58CACA168431}">
      <text>
        <r>
          <rPr>
            <sz val="9"/>
            <color indexed="81"/>
            <rFont val="Tahoma"/>
            <family val="2"/>
          </rPr>
          <t>USD equity value in millions is converted to dollars, divided by the issued ordinary-share count, and converted to GBP using the WACC sheet’s USD-per-GBP exchange rate.
The result is GBP per ordinary share, not pence and not an ADR price. It is a retrospective model value at the stated valuation date, not a future share-price target.</t>
        </r>
      </text>
    </comment>
    <comment ref="B41" authorId="0" shapeId="0" xr:uid="{6C70255A-7DBE-48E4-ABAD-99221920D670}">
      <text>
        <r>
          <rPr>
            <sz val="9"/>
            <color indexed="81"/>
            <rFont val="Tahoma"/>
            <family val="2"/>
          </rPr>
          <t>Source: AstraZeneca Annual Report &amp; Form 20-F Information 2025, Note 20, p.159.
Outstanding contingent consideration of $550m comprises $346m current and $204m non-current liabilities. It is deducted separately in the enterprise-to-equity bridge.
The current portion is excluded from forecast working capital. Settlement payments for this existing liability are not separately deducted in forecast FCFF.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Cole Conklin</author>
  </authors>
  <commentList>
    <comment ref="A1" authorId="0" shapeId="0" xr:uid="{19F8B7DF-AC96-4F27-B741-F423DA7C02F1}">
      <text>
        <r>
          <rPr>
            <sz val="9"/>
            <color indexed="81"/>
            <rFont val="Tahoma"/>
            <family val="2"/>
          </rPr>
          <t>The tables show model-implied GBP values per ordinary share under alternative assumptions. They are not forecasts of future market prices.
The exact base-case WACC is linked in DCF!B12. The grid’s 8.0% WACC row is only a nearby scenario and does not reproduce the exact base-case valuation.</t>
        </r>
      </text>
    </comment>
    <comment ref="A3" authorId="0" shapeId="0" xr:uid="{1DA0E951-E91C-448F-BE6B-95C7D46775F3}">
      <text>
        <r>
          <rPr>
            <sz val="9"/>
            <color indexed="81"/>
            <rFont val="Tahoma"/>
            <family val="2"/>
          </rPr>
          <t>The table varies WACC from 6% to 10% and terminal growth from 1.5% to 3.5%. These are illustrative modelling ranges, not statistical confidence intervals.
Each cell recalculates the present value of forecast FCFF and terminal value using the selected rates. Forecast operating assumptions, net debt and acquisition claims, share count and exchange rate are held constant.</t>
        </r>
      </text>
    </comment>
    <comment ref="A12" authorId="0" shapeId="0" xr:uid="{60384AE8-54C4-4A63-83D2-DEA306F0F973}">
      <text>
        <r>
          <rPr>
            <sz val="9"/>
            <color indexed="81"/>
            <rFont val="Tahoma"/>
            <family val="2"/>
          </rPr>
          <t>The table varies WACC from 6% to 10% and the 2030 EBIT margin from 23% to 25%.
The selected margin changes 2030 EBIT, NOPAT and FCFF, and therefore the terminal value based on that FCFF. EBIT margins and operating cash flows for 2026–2029 remain unchanged.
Terminal growth, other operating assumptions, net debt and acquisitions claims, share count and exchange rate are held constant. This tests the final-year margin rather than an alternative margin path across all forecast years.</t>
        </r>
      </text>
    </comment>
  </commentList>
</comments>
</file>

<file path=xl/sharedStrings.xml><?xml version="1.0" encoding="utf-8"?>
<sst xmlns="http://schemas.openxmlformats.org/spreadsheetml/2006/main" count="197" uniqueCount="152">
  <si>
    <t>Revenue</t>
  </si>
  <si>
    <t>EBIT</t>
  </si>
  <si>
    <t>EBIT Margin</t>
  </si>
  <si>
    <t>Tax Expense</t>
  </si>
  <si>
    <t>Net Income</t>
  </si>
  <si>
    <t>D&amp;A</t>
  </si>
  <si>
    <t>Operating Cash Flow</t>
  </si>
  <si>
    <t>Cash</t>
  </si>
  <si>
    <t>Total Debt</t>
  </si>
  <si>
    <t>Net Working Capital</t>
  </si>
  <si>
    <t>AstraZeneca Historical Financials ($m)</t>
  </si>
  <si>
    <t>2023</t>
  </si>
  <si>
    <t>2024</t>
  </si>
  <si>
    <t>2025</t>
  </si>
  <si>
    <t>Inventory</t>
  </si>
  <si>
    <t>Trade &amp; Other Receivables</t>
  </si>
  <si>
    <t>Trade &amp; Other Payables</t>
  </si>
  <si>
    <t>Provisions</t>
  </si>
  <si>
    <t>Net Working Capital Calculation ($m)</t>
  </si>
  <si>
    <t>Depreciation of PP&amp;E</t>
  </si>
  <si>
    <t>Depreciation of ROU assets</t>
  </si>
  <si>
    <t>Amortisation of intangibles</t>
  </si>
  <si>
    <t>D&amp;A Calculation</t>
  </si>
  <si>
    <t>Profit Before Tax</t>
  </si>
  <si>
    <t>Effective Tax Rate</t>
  </si>
  <si>
    <t>Revenue Growth</t>
  </si>
  <si>
    <t xml:space="preserve">N/A </t>
  </si>
  <si>
    <t>Tax Rate Calculation ($m)</t>
  </si>
  <si>
    <t>2026E</t>
  </si>
  <si>
    <t>2027E</t>
  </si>
  <si>
    <t>2028E</t>
  </si>
  <si>
    <t>2029E</t>
  </si>
  <si>
    <t>2030E</t>
  </si>
  <si>
    <t>Tax Rate</t>
  </si>
  <si>
    <t>NOPAT</t>
  </si>
  <si>
    <t>Change in NWC</t>
  </si>
  <si>
    <t>FCFF</t>
  </si>
  <si>
    <t>AstraZeneca Forecast ($m)</t>
  </si>
  <si>
    <t>D&amp;A % Revenue</t>
  </si>
  <si>
    <t>PP&amp;E purchases</t>
  </si>
  <si>
    <t>Intangible purchases</t>
  </si>
  <si>
    <t>Less: intangible disposals</t>
  </si>
  <si>
    <t>Net intangible investment</t>
  </si>
  <si>
    <t>Total Capital Investment</t>
  </si>
  <si>
    <t>Capital Investment % Revenue</t>
  </si>
  <si>
    <t>NWC % Revenue</t>
  </si>
  <si>
    <t>AstraZeneca WACC ($m unless stated)</t>
  </si>
  <si>
    <t>Cost of Equity</t>
  </si>
  <si>
    <t>Risk-Free Rate</t>
  </si>
  <si>
    <t>Beta</t>
  </si>
  <si>
    <t>Equity Risk Premium</t>
  </si>
  <si>
    <t>Cost of Debt</t>
  </si>
  <si>
    <t>Interest Expense</t>
  </si>
  <si>
    <t>Pre-Tax Cost of Debt</t>
  </si>
  <si>
    <t>After-Tax Cost of Debt</t>
  </si>
  <si>
    <t>Capital Structure</t>
  </si>
  <si>
    <t>Equity Weight</t>
  </si>
  <si>
    <t>Debt Weight</t>
  </si>
  <si>
    <t>WACC</t>
  </si>
  <si>
    <t>Share Price (£)</t>
  </si>
  <si>
    <t>Shares Outstanding</t>
  </si>
  <si>
    <t>GBP Market Value of Equity</t>
  </si>
  <si>
    <t>GBP/USD Exchange Rate</t>
  </si>
  <si>
    <t>USD Market Value of Equity</t>
  </si>
  <si>
    <t>AstraZeneca DCF Valuation ($m unless stated)</t>
  </si>
  <si>
    <t>Discount Period</t>
  </si>
  <si>
    <t xml:space="preserve">Discount Factor </t>
  </si>
  <si>
    <t>PV of FCFF</t>
  </si>
  <si>
    <t>Total PV of Forecast FCFF</t>
  </si>
  <si>
    <t>Terminal Growth Rate</t>
  </si>
  <si>
    <t>Terminal Value</t>
  </si>
  <si>
    <t>PV of Terminal Value</t>
  </si>
  <si>
    <t>Enterprise Value</t>
  </si>
  <si>
    <t>Equity Value</t>
  </si>
  <si>
    <t>Implied Upside/(Downside)</t>
  </si>
  <si>
    <t>DCF Forecast</t>
  </si>
  <si>
    <t>Valuation Assumptions</t>
  </si>
  <si>
    <t>Equity Valuation</t>
  </si>
  <si>
    <t>Total Capital</t>
  </si>
  <si>
    <t>Capital Investment</t>
  </si>
  <si>
    <t>Capital Investment Calculation ($m)</t>
  </si>
  <si>
    <t>AstraZeneca DCF Sensitivity Analysis (£ per share)</t>
  </si>
  <si>
    <t>Sensitivity Analysis</t>
  </si>
  <si>
    <t>WACC / Terminal Growth</t>
  </si>
  <si>
    <t>PV of Terminal Value / Enterprise Value</t>
  </si>
  <si>
    <t>AstraZeneca DCF Valuation</t>
  </si>
  <si>
    <t>Company</t>
  </si>
  <si>
    <t>AstraZeneca plc</t>
  </si>
  <si>
    <t>Ticker</t>
  </si>
  <si>
    <t>AZN</t>
  </si>
  <si>
    <t>Key Valuation Outputs</t>
  </si>
  <si>
    <t>Implied Share Price</t>
  </si>
  <si>
    <t>Actual Share Price</t>
  </si>
  <si>
    <t>Implied Upside / (Downside)</t>
  </si>
  <si>
    <t>Key DCF Assumptions</t>
  </si>
  <si>
    <t>Forecast Period</t>
  </si>
  <si>
    <t>2026E–2030E</t>
  </si>
  <si>
    <t>2026E Revenue Growth</t>
  </si>
  <si>
    <t>2030E EBIT Margin</t>
  </si>
  <si>
    <t>Metric</t>
  </si>
  <si>
    <t xml:space="preserve">Operating Forecast </t>
  </si>
  <si>
    <t>Valuation Structure</t>
  </si>
  <si>
    <t>PV of Forecast FCFF</t>
  </si>
  <si>
    <t>Terminal Value / Enterprise Value</t>
  </si>
  <si>
    <t>Financials</t>
  </si>
  <si>
    <t>USD $m</t>
  </si>
  <si>
    <t xml:space="preserve">Share Price </t>
  </si>
  <si>
    <t>GBP £ per share</t>
  </si>
  <si>
    <t xml:space="preserve">Implied Share Price </t>
  </si>
  <si>
    <t>EBITDA</t>
  </si>
  <si>
    <t>2030E EBITDA</t>
  </si>
  <si>
    <t>Exit EBITDA Multiple</t>
  </si>
  <si>
    <t xml:space="preserve">Terminal Value - Exit Multiple </t>
  </si>
  <si>
    <t>PV of Terminal Value - Exit Multiple</t>
  </si>
  <si>
    <t>Terminal Value Comparison</t>
  </si>
  <si>
    <t>Difference</t>
  </si>
  <si>
    <t>Exit Multiple / Perpetuity Growth</t>
  </si>
  <si>
    <t>PV of Terminal Value - Perpetuity Growth</t>
  </si>
  <si>
    <t>Implied Valuation Multiples</t>
  </si>
  <si>
    <t>DCF Implied</t>
  </si>
  <si>
    <t>Key Risks &amp; Limitations</t>
  </si>
  <si>
    <t xml:space="preserve">WACC and Terminal Growth Sensitivity: </t>
  </si>
  <si>
    <t>Forecast Assumptions:</t>
  </si>
  <si>
    <t>Methodology and Market Comparison</t>
  </si>
  <si>
    <t>Terminal Value Concentration</t>
  </si>
  <si>
    <t xml:space="preserve"> Retrospective Discounted Cash Flow Valuation | 31 December 2025 |USD $m except per-share data</t>
  </si>
  <si>
    <t xml:space="preserve">Valuation / Discounting Date </t>
  </si>
  <si>
    <t>Valuation Date and Information Basis</t>
  </si>
  <si>
    <t>Model last updated:</t>
  </si>
  <si>
    <t>Net Debt (Gross Debt Less Cash)</t>
  </si>
  <si>
    <t>EV / FY2025 Revenue</t>
  </si>
  <si>
    <t>EV / FY2025 EBITDA</t>
  </si>
  <si>
    <t>Market Reference*</t>
  </si>
  <si>
    <t>This retrospective valuation discounts forecast cash flows to 31 December 2025 using FY2025 financial statements published after that date. It also uses subsequently available information where identified in the source notes. It therefore does not represent a valuation based solely on information available to investors on 31 December 2025.</t>
  </si>
  <si>
    <t>A substantial portion of enterprise value comes from the present value of terminal cash flows. The valuation is therefore particularly sensitive to long-term growth, profitability, reinvestment and discount-rate assumptions.</t>
  </si>
  <si>
    <t>Changes in WACC and terminal growth can materially affect the implied share value. Sensitivity analysis shows alternative outcomes while holding the other specified assumptions constant.</t>
  </si>
  <si>
    <t>Revenue growth, EBIT margins, tax, depreciation and amortisation, capital investment and working capital are modelled using simplified assumptions. Actual results may differ materially.</t>
  </si>
  <si>
    <t>Implied Share Price Sensitivity: 2030E EBIT Margin and WACC</t>
  </si>
  <si>
    <t>WACC / 2030E EBIT Margin</t>
  </si>
  <si>
    <t>Beta Input</t>
  </si>
  <si>
    <t>Industry Unlevered Beta</t>
  </si>
  <si>
    <t>Adjusted Working Capital</t>
  </si>
  <si>
    <t>Add back: current contingent consideration</t>
  </si>
  <si>
    <t>Add back: Acerta share-purchase liability</t>
  </si>
  <si>
    <t>Adjusted NWC</t>
  </si>
  <si>
    <r>
      <t>Adjusted Net Working Capital</t>
    </r>
    <r>
      <rPr>
        <sz val="11"/>
        <color theme="1"/>
        <rFont val="Aptos Narrow"/>
        <family val="2"/>
        <scheme val="minor"/>
      </rPr>
      <t>.</t>
    </r>
  </si>
  <si>
    <t>Acquisition Contingent Consideration</t>
  </si>
  <si>
    <t>Net Debt and Acquisition Claims</t>
  </si>
  <si>
    <t>*Market enterprise value uses the model’s 31 December 2025 market capitalisation and net-debt and acquisition-claims definition. Both columns use subsequently published FY2025 revenue and EBITDA, consistent with the retrospective valuation approach.</t>
  </si>
  <si>
    <t>The DCF is one valuation approach. The market-reference multiples use the model’s 31 December 2025 market capitalisation and net-debt and acquisition-claims definition, together with subsequently published FY2025 financials. The exit-multiple calculation provides an alternative terminal-value scenario.</t>
  </si>
  <si>
    <t>Alternative Terminal Value: Exit Multiple</t>
  </si>
  <si>
    <t>Adjusted Net Working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</si>
</sst>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_-* #,##0_-;\-* #,##0_-;_-* &quot;-&quot;??_-;_-@_-"/>
    <numFmt numFmtId="166" formatCode="0.0000"/>
    <numFmt numFmtId="167" formatCode="&quot;£&quot;#,##0.00"/>
    <numFmt numFmtId="168" formatCode="[$$-409]#,##0.00"/>
    <numFmt numFmtId="169" formatCode="[$$-409]#,##0"/>
    <numFmt numFmtId="170" formatCode="[$$-409]#,##0_ ;\-[$$-409]#,##0\ "/>
    <numFmt numFmtId="171" formatCode="0.0\x"/>
  </numFmts>
  <fonts count="19">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sz val="11"/>
      <color theme="4"/>
      <name val="Aptos Narrow"/>
      <family val="2"/>
      <scheme val="minor"/>
    </font>
    <font>
      <sz val="11"/>
      <name val="Aptos Narrow"/>
      <family val="2"/>
      <scheme val="minor"/>
    </font>
    <font>
      <sz val="11"/>
      <color theme="6"/>
      <name val="Aptos Narrow"/>
      <family val="2"/>
      <scheme val="minor"/>
    </font>
    <font>
      <sz val="9"/>
      <color indexed="81"/>
      <name val="Tahoma"/>
      <family val="2"/>
    </font>
    <font>
      <b/>
      <sz val="16"/>
      <color theme="1"/>
      <name val="Aptos Narrow"/>
      <family val="2"/>
      <scheme val="minor"/>
    </font>
    <font>
      <i/>
      <sz val="11"/>
      <color theme="1"/>
      <name val="Aptos Narrow"/>
      <family val="2"/>
      <scheme val="minor"/>
    </font>
    <font>
      <b/>
      <sz val="11"/>
      <name val="Aptos Narrow"/>
      <family val="2"/>
      <scheme val="minor"/>
    </font>
    <font>
      <b/>
      <sz val="11"/>
      <color theme="6"/>
      <name val="Aptos Narrow"/>
      <family val="2"/>
      <scheme val="minor"/>
    </font>
    <font>
      <sz val="10"/>
      <color theme="2" tint="-0.499984740745262"/>
      <name val="Aptos Narrow"/>
      <family val="2"/>
      <scheme val="minor"/>
    </font>
    <font>
      <b/>
      <sz val="9"/>
      <color indexed="81"/>
      <name val="Tahoma"/>
      <family val="2"/>
    </font>
    <font>
      <b/>
      <sz val="10"/>
      <color theme="1"/>
      <name val="Arial Unicode MS"/>
    </font>
    <font>
      <sz val="10"/>
      <color theme="2"/>
      <name val="Arial Unicode MS"/>
    </font>
    <font>
      <sz val="11"/>
      <color theme="2"/>
      <name val="Aptos Narrow"/>
      <family val="2"/>
      <scheme val="minor"/>
    </font>
    <font>
      <sz val="10"/>
      <color theme="6"/>
      <name val="Arial Unicode MS"/>
    </font>
  </fonts>
  <fills count="3">
    <fill>
      <patternFill patternType="none"/>
    </fill>
    <fill>
      <patternFill patternType="gray125"/>
    </fill>
    <fill>
      <patternFill patternType="solid">
        <fgColor theme="2"/>
        <bgColor indexed="64"/>
      </patternFill>
    </fill>
  </fills>
  <borders count="3">
    <border>
      <left/>
      <right/>
      <top/>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38">
    <xf numFmtId="0" fontId="0" fillId="0" borderId="0" xfId="0"/>
    <xf numFmtId="0" fontId="2" fillId="0" borderId="0" xfId="0" applyFont="1" applyAlignment="1">
      <alignment horizontal="center" vertical="center" wrapText="1"/>
    </xf>
    <xf numFmtId="0" fontId="2" fillId="0" borderId="0" xfId="0" applyFont="1" applyAlignment="1">
      <alignment horizontal="right" vertical="center" wrapText="1"/>
    </xf>
    <xf numFmtId="0" fontId="0" fillId="0" borderId="0" xfId="0" applyAlignment="1">
      <alignment vertical="center" wrapText="1"/>
    </xf>
    <xf numFmtId="0" fontId="0" fillId="0" borderId="0" xfId="0" applyAlignment="1">
      <alignment vertical="center"/>
    </xf>
    <xf numFmtId="3" fontId="0" fillId="0" borderId="0" xfId="0" applyNumberFormat="1" applyAlignment="1">
      <alignment vertical="center" wrapText="1"/>
    </xf>
    <xf numFmtId="164" fontId="1" fillId="0" borderId="0" xfId="1" applyNumberFormat="1" applyFont="1" applyBorder="1" applyAlignment="1">
      <alignment horizontal="right" vertical="center"/>
    </xf>
    <xf numFmtId="0" fontId="0" fillId="0" borderId="0" xfId="0" applyAlignment="1">
      <alignment horizontal="right" vertical="center" wrapText="1"/>
    </xf>
    <xf numFmtId="3" fontId="0" fillId="0" borderId="0" xfId="0" applyNumberFormat="1" applyAlignment="1">
      <alignment horizontal="right" vertical="center" wrapText="1"/>
    </xf>
    <xf numFmtId="164" fontId="1" fillId="0" borderId="0" xfId="1" applyNumberFormat="1" applyFont="1" applyAlignment="1">
      <alignment horizontal="right" vertical="center" wrapText="1"/>
    </xf>
    <xf numFmtId="0" fontId="2" fillId="0" borderId="0" xfId="0" applyFont="1" applyAlignment="1">
      <alignment vertical="center" wrapText="1"/>
    </xf>
    <xf numFmtId="165" fontId="0" fillId="0" borderId="0" xfId="2" applyNumberFormat="1" applyFont="1"/>
    <xf numFmtId="165" fontId="0" fillId="0" borderId="0" xfId="0" applyNumberFormat="1"/>
    <xf numFmtId="0" fontId="2" fillId="0" borderId="0" xfId="0" applyFont="1" applyAlignment="1">
      <alignment horizontal="center" vertical="center"/>
    </xf>
    <xf numFmtId="0" fontId="2" fillId="0" borderId="0" xfId="0" applyFont="1" applyAlignment="1">
      <alignment vertical="center"/>
    </xf>
    <xf numFmtId="3" fontId="0" fillId="0" borderId="0" xfId="0" applyNumberFormat="1" applyAlignment="1">
      <alignment vertical="center"/>
    </xf>
    <xf numFmtId="3" fontId="2" fillId="0" borderId="0" xfId="0" applyNumberFormat="1" applyFont="1" applyAlignment="1">
      <alignment vertical="center"/>
    </xf>
    <xf numFmtId="10" fontId="0" fillId="0" borderId="0" xfId="0" applyNumberFormat="1"/>
    <xf numFmtId="165" fontId="0" fillId="0" borderId="0" xfId="2" applyNumberFormat="1" applyFont="1" applyBorder="1"/>
    <xf numFmtId="166" fontId="0" fillId="0" borderId="0" xfId="0" applyNumberFormat="1"/>
    <xf numFmtId="10" fontId="0" fillId="0" borderId="0" xfId="0" applyNumberFormat="1" applyAlignment="1">
      <alignment horizontal="right" vertical="center" wrapText="1"/>
    </xf>
    <xf numFmtId="0" fontId="0" fillId="0" borderId="0" xfId="0" applyAlignment="1">
      <alignment horizontal="center"/>
    </xf>
    <xf numFmtId="0" fontId="4" fillId="0" borderId="0" xfId="0" applyFont="1" applyAlignment="1">
      <alignment vertical="center" wrapText="1"/>
    </xf>
    <xf numFmtId="10" fontId="0" fillId="0" borderId="0" xfId="0" applyNumberFormat="1" applyAlignment="1">
      <alignment vertical="center" wrapText="1"/>
    </xf>
    <xf numFmtId="9" fontId="0" fillId="0" borderId="0" xfId="0" applyNumberFormat="1"/>
    <xf numFmtId="167" fontId="0" fillId="0" borderId="0" xfId="0" applyNumberFormat="1"/>
    <xf numFmtId="164" fontId="2" fillId="2" borderId="0" xfId="0" applyNumberFormat="1"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right" vertical="center"/>
    </xf>
    <xf numFmtId="0" fontId="2" fillId="2" borderId="0" xfId="0" applyFont="1" applyFill="1" applyAlignment="1">
      <alignment horizontal="center"/>
    </xf>
    <xf numFmtId="164" fontId="5" fillId="0" borderId="0" xfId="1" applyNumberFormat="1" applyFont="1" applyAlignment="1">
      <alignment horizontal="right" vertical="center"/>
    </xf>
    <xf numFmtId="10" fontId="5" fillId="0" borderId="0" xfId="1" applyNumberFormat="1" applyFont="1" applyAlignment="1">
      <alignment horizontal="right" vertical="center"/>
    </xf>
    <xf numFmtId="164" fontId="5" fillId="0" borderId="0" xfId="0" applyNumberFormat="1" applyFont="1" applyAlignment="1">
      <alignment horizontal="right" vertical="center"/>
    </xf>
    <xf numFmtId="0" fontId="5" fillId="0" borderId="0" xfId="0" applyFont="1"/>
    <xf numFmtId="164" fontId="5" fillId="0" borderId="0" xfId="0" applyNumberFormat="1" applyFont="1"/>
    <xf numFmtId="164" fontId="5" fillId="0" borderId="0" xfId="0" applyNumberFormat="1" applyFont="1" applyAlignment="1">
      <alignment vertical="center" wrapText="1"/>
    </xf>
    <xf numFmtId="10" fontId="5" fillId="0" borderId="0" xfId="0" applyNumberFormat="1" applyFont="1"/>
    <xf numFmtId="0" fontId="0" fillId="0" borderId="0" xfId="0" applyAlignment="1">
      <alignment horizontal="left" vertical="center"/>
    </xf>
    <xf numFmtId="165" fontId="1" fillId="0" borderId="0" xfId="2" applyNumberFormat="1" applyFont="1" applyAlignment="1">
      <alignment horizontal="right" vertical="center"/>
    </xf>
    <xf numFmtId="0" fontId="0" fillId="0" borderId="0" xfId="0" applyAlignment="1">
      <alignment horizontal="left"/>
    </xf>
    <xf numFmtId="3" fontId="0" fillId="0" borderId="0" xfId="0" applyNumberFormat="1"/>
    <xf numFmtId="3" fontId="5" fillId="0" borderId="0" xfId="0" applyNumberFormat="1" applyFont="1"/>
    <xf numFmtId="0" fontId="5" fillId="0" borderId="0" xfId="0" applyFont="1" applyAlignment="1">
      <alignment vertical="center" wrapText="1"/>
    </xf>
    <xf numFmtId="0" fontId="6" fillId="0" borderId="0" xfId="0" applyFont="1" applyAlignment="1">
      <alignment vertical="center" wrapText="1"/>
    </xf>
    <xf numFmtId="10" fontId="6" fillId="0" borderId="0" xfId="1" applyNumberFormat="1" applyFont="1" applyBorder="1"/>
    <xf numFmtId="165" fontId="5" fillId="0" borderId="0" xfId="2" applyNumberFormat="1" applyFont="1" applyBorder="1"/>
    <xf numFmtId="0" fontId="6" fillId="0" borderId="0" xfId="0" applyFont="1" applyAlignment="1">
      <alignment horizontal="left" vertical="center"/>
    </xf>
    <xf numFmtId="0" fontId="6" fillId="0" borderId="0" xfId="0" applyFont="1"/>
    <xf numFmtId="0" fontId="6" fillId="0" borderId="0" xfId="0" applyFont="1" applyAlignment="1">
      <alignment horizontal="left"/>
    </xf>
    <xf numFmtId="165" fontId="6" fillId="0" borderId="0" xfId="0" applyNumberFormat="1" applyFont="1"/>
    <xf numFmtId="10" fontId="1" fillId="0" borderId="0" xfId="1" applyNumberFormat="1" applyFont="1" applyBorder="1"/>
    <xf numFmtId="10" fontId="1" fillId="0" borderId="0" xfId="1" applyNumberFormat="1" applyFont="1" applyBorder="1" applyAlignment="1">
      <alignment vertical="center" wrapText="1"/>
    </xf>
    <xf numFmtId="0" fontId="0" fillId="0" borderId="1" xfId="0" applyBorder="1" applyAlignment="1">
      <alignment horizontal="left" vertical="center"/>
    </xf>
    <xf numFmtId="0" fontId="0" fillId="0" borderId="0" xfId="0" applyAlignment="1">
      <alignment horizontal="right" vertical="center"/>
    </xf>
    <xf numFmtId="164" fontId="1" fillId="0" borderId="0" xfId="1" applyNumberFormat="1" applyFont="1" applyAlignment="1">
      <alignment horizontal="right" vertical="center"/>
    </xf>
    <xf numFmtId="3" fontId="0" fillId="0" borderId="1" xfId="0" applyNumberFormat="1" applyBorder="1" applyAlignment="1">
      <alignment horizontal="right" vertical="center"/>
    </xf>
    <xf numFmtId="3" fontId="5" fillId="0" borderId="1" xfId="0" applyNumberFormat="1" applyFont="1" applyBorder="1" applyAlignment="1">
      <alignment vertical="center" wrapText="1"/>
    </xf>
    <xf numFmtId="3" fontId="5" fillId="0" borderId="0" xfId="0" applyNumberFormat="1" applyFont="1" applyAlignment="1">
      <alignment vertical="center" wrapText="1"/>
    </xf>
    <xf numFmtId="3" fontId="5" fillId="0" borderId="0" xfId="0" applyNumberFormat="1" applyFont="1" applyAlignment="1">
      <alignment horizontal="right" vertical="center"/>
    </xf>
    <xf numFmtId="0" fontId="5" fillId="0" borderId="0" xfId="0" applyFont="1" applyAlignment="1">
      <alignment horizontal="right" vertical="center"/>
    </xf>
    <xf numFmtId="0" fontId="5" fillId="0" borderId="0" xfId="0" applyFont="1" applyAlignment="1">
      <alignment horizontal="right" vertical="center" wrapText="1"/>
    </xf>
    <xf numFmtId="3" fontId="5" fillId="0" borderId="0" xfId="0" applyNumberFormat="1" applyFont="1" applyAlignment="1">
      <alignment horizontal="right" vertical="center" wrapText="1"/>
    </xf>
    <xf numFmtId="0" fontId="0" fillId="0" borderId="1" xfId="0" applyBorder="1" applyAlignment="1">
      <alignment vertical="center"/>
    </xf>
    <xf numFmtId="10" fontId="7" fillId="0" borderId="0" xfId="0" applyNumberFormat="1" applyFont="1"/>
    <xf numFmtId="165" fontId="7" fillId="0" borderId="0" xfId="2" applyNumberFormat="1" applyFont="1" applyAlignment="1">
      <alignment horizontal="left" vertical="center" indent="7"/>
    </xf>
    <xf numFmtId="0" fontId="7" fillId="0" borderId="0" xfId="0" applyFont="1"/>
    <xf numFmtId="165" fontId="1" fillId="0" borderId="0" xfId="2" applyNumberFormat="1" applyFont="1"/>
    <xf numFmtId="10" fontId="1" fillId="0" borderId="0" xfId="1" applyNumberFormat="1" applyFont="1"/>
    <xf numFmtId="15" fontId="0" fillId="0" borderId="0" xfId="0" applyNumberFormat="1" applyAlignment="1">
      <alignment horizontal="left"/>
    </xf>
    <xf numFmtId="0" fontId="2" fillId="0" borderId="0" xfId="0" applyFont="1"/>
    <xf numFmtId="0" fontId="0" fillId="0" borderId="0" xfId="0" applyAlignment="1">
      <alignment horizontal="right"/>
    </xf>
    <xf numFmtId="164" fontId="7" fillId="0" borderId="0" xfId="1" applyNumberFormat="1" applyFont="1"/>
    <xf numFmtId="168" fontId="7" fillId="0" borderId="0" xfId="2" applyNumberFormat="1" applyFont="1"/>
    <xf numFmtId="169" fontId="7" fillId="0" borderId="0" xfId="2" applyNumberFormat="1" applyFont="1"/>
    <xf numFmtId="170" fontId="7" fillId="0" borderId="0" xfId="2" applyNumberFormat="1" applyFont="1"/>
    <xf numFmtId="167" fontId="0" fillId="0" borderId="0" xfId="2" applyNumberFormat="1" applyFont="1"/>
    <xf numFmtId="165" fontId="0" fillId="0" borderId="0" xfId="2" applyNumberFormat="1" applyFont="1" applyAlignment="1">
      <alignment horizontal="right" vertical="center"/>
    </xf>
    <xf numFmtId="165" fontId="7" fillId="0" borderId="0" xfId="2" applyNumberFormat="1" applyFont="1" applyAlignment="1">
      <alignment horizontal="right" vertical="center"/>
    </xf>
    <xf numFmtId="3" fontId="6" fillId="0" borderId="0" xfId="0" applyNumberFormat="1" applyFont="1"/>
    <xf numFmtId="167" fontId="5" fillId="0" borderId="0" xfId="0" applyNumberFormat="1" applyFont="1"/>
    <xf numFmtId="3" fontId="6" fillId="0" borderId="0" xfId="0" applyNumberFormat="1" applyFont="1" applyAlignment="1">
      <alignment vertical="center" wrapText="1"/>
    </xf>
    <xf numFmtId="167" fontId="12" fillId="0" borderId="0" xfId="0" applyNumberFormat="1" applyFont="1"/>
    <xf numFmtId="165" fontId="2" fillId="0" borderId="0" xfId="0" applyNumberFormat="1" applyFont="1"/>
    <xf numFmtId="164" fontId="2" fillId="0" borderId="0" xfId="0" applyNumberFormat="1" applyFont="1" applyAlignment="1">
      <alignment horizontal="right" vertical="center" wrapText="1"/>
    </xf>
    <xf numFmtId="164" fontId="2" fillId="0" borderId="0" xfId="0" applyNumberFormat="1" applyFont="1" applyAlignment="1">
      <alignment horizontal="right"/>
    </xf>
    <xf numFmtId="0" fontId="11" fillId="0" borderId="0" xfId="0" applyFont="1" applyAlignment="1">
      <alignment horizontal="left" vertical="center"/>
    </xf>
    <xf numFmtId="165" fontId="2" fillId="0" borderId="0" xfId="2" applyNumberFormat="1" applyFont="1" applyBorder="1" applyAlignment="1">
      <alignment horizontal="right" vertical="center"/>
    </xf>
    <xf numFmtId="0" fontId="2" fillId="0" borderId="0" xfId="0" applyFont="1" applyAlignment="1">
      <alignment horizontal="left" vertical="center"/>
    </xf>
    <xf numFmtId="165" fontId="12" fillId="0" borderId="0" xfId="2" applyNumberFormat="1" applyFont="1" applyBorder="1"/>
    <xf numFmtId="43" fontId="0" fillId="0" borderId="0" xfId="0" applyNumberFormat="1"/>
    <xf numFmtId="165" fontId="7" fillId="0" borderId="0" xfId="2" applyNumberFormat="1" applyFont="1"/>
    <xf numFmtId="165" fontId="6" fillId="0" borderId="0" xfId="2" applyNumberFormat="1" applyFont="1"/>
    <xf numFmtId="164" fontId="0" fillId="0" borderId="0" xfId="1" applyNumberFormat="1" applyFont="1"/>
    <xf numFmtId="171" fontId="5" fillId="0" borderId="0" xfId="0" applyNumberFormat="1" applyFont="1" applyAlignment="1">
      <alignment horizontal="right"/>
    </xf>
    <xf numFmtId="0" fontId="2" fillId="0" borderId="0" xfId="0" applyFont="1" applyAlignment="1">
      <alignment horizontal="left"/>
    </xf>
    <xf numFmtId="171" fontId="7" fillId="0" borderId="0" xfId="1" applyNumberFormat="1" applyFont="1" applyAlignment="1">
      <alignment horizontal="right"/>
    </xf>
    <xf numFmtId="171" fontId="7" fillId="0" borderId="0" xfId="0" applyNumberFormat="1" applyFont="1"/>
    <xf numFmtId="165" fontId="7" fillId="0" borderId="0" xfId="2" applyNumberFormat="1" applyFont="1" applyAlignment="1">
      <alignment horizontal="right"/>
    </xf>
    <xf numFmtId="167" fontId="12" fillId="0" borderId="0" xfId="0" applyNumberFormat="1" applyFont="1" applyAlignment="1">
      <alignment horizontal="right"/>
    </xf>
    <xf numFmtId="10" fontId="12" fillId="0" borderId="0" xfId="0" applyNumberFormat="1" applyFont="1" applyAlignment="1">
      <alignment horizontal="right"/>
    </xf>
    <xf numFmtId="0" fontId="11" fillId="0" borderId="0" xfId="0" applyFont="1" applyAlignment="1">
      <alignment vertical="center" wrapText="1"/>
    </xf>
    <xf numFmtId="10" fontId="11" fillId="0" borderId="0" xfId="1" applyNumberFormat="1" applyFont="1" applyBorder="1"/>
    <xf numFmtId="10" fontId="2" fillId="0" borderId="0" xfId="1" applyNumberFormat="1" applyFont="1" applyBorder="1"/>
    <xf numFmtId="10" fontId="2" fillId="0" borderId="0" xfId="0" applyNumberFormat="1" applyFont="1"/>
    <xf numFmtId="0" fontId="0" fillId="0" borderId="2" xfId="0" applyBorder="1" applyAlignment="1">
      <alignment vertical="top" wrapText="1"/>
    </xf>
    <xf numFmtId="0" fontId="2" fillId="0" borderId="2" xfId="0" applyFont="1" applyBorder="1" applyAlignment="1">
      <alignment vertical="top"/>
    </xf>
    <xf numFmtId="0" fontId="2" fillId="0" borderId="2" xfId="0" applyFont="1" applyBorder="1" applyAlignment="1">
      <alignment vertical="top" wrapText="1"/>
    </xf>
    <xf numFmtId="165" fontId="5" fillId="0" borderId="0" xfId="2" applyNumberFormat="1" applyFont="1" applyBorder="1" applyAlignment="1">
      <alignment horizontal="right" vertical="center"/>
    </xf>
    <xf numFmtId="0" fontId="4" fillId="0" borderId="0" xfId="0" applyFont="1"/>
    <xf numFmtId="0" fontId="15" fillId="0" borderId="0" xfId="0" applyFont="1"/>
    <xf numFmtId="14" fontId="0" fillId="0" borderId="0" xfId="0" applyNumberFormat="1"/>
    <xf numFmtId="0" fontId="16" fillId="0" borderId="0" xfId="0" applyFont="1"/>
    <xf numFmtId="14" fontId="17" fillId="0" borderId="0" xfId="0" applyNumberFormat="1" applyFont="1"/>
    <xf numFmtId="164" fontId="2" fillId="0" borderId="0" xfId="0" applyNumberFormat="1" applyFont="1" applyAlignment="1">
      <alignment horizontal="center" vertical="top" wrapText="1"/>
    </xf>
    <xf numFmtId="164" fontId="2" fillId="0" borderId="0" xfId="0" applyNumberFormat="1" applyFont="1" applyAlignment="1">
      <alignment vertical="top"/>
    </xf>
    <xf numFmtId="3" fontId="4" fillId="0" borderId="0" xfId="0" applyNumberFormat="1" applyFont="1"/>
    <xf numFmtId="9" fontId="18" fillId="0" borderId="0" xfId="1" applyFont="1"/>
    <xf numFmtId="3" fontId="18" fillId="0" borderId="0" xfId="0" applyNumberFormat="1" applyFont="1"/>
    <xf numFmtId="0" fontId="11" fillId="2" borderId="0" xfId="0" applyFont="1" applyFill="1" applyAlignment="1">
      <alignment vertical="center"/>
    </xf>
    <xf numFmtId="0" fontId="11" fillId="2" borderId="0" xfId="0" applyFont="1" applyFill="1"/>
    <xf numFmtId="0" fontId="4" fillId="0" borderId="1" xfId="0" applyFont="1" applyBorder="1"/>
    <xf numFmtId="164" fontId="7" fillId="0" borderId="0" xfId="0" applyNumberFormat="1" applyFont="1"/>
    <xf numFmtId="164" fontId="6" fillId="0" borderId="0" xfId="0" applyNumberFormat="1" applyFont="1"/>
    <xf numFmtId="165" fontId="4" fillId="0" borderId="0" xfId="0" applyNumberFormat="1" applyFont="1"/>
    <xf numFmtId="1" fontId="5" fillId="0" borderId="0" xfId="0" applyNumberFormat="1" applyFont="1"/>
    <xf numFmtId="0" fontId="2" fillId="2" borderId="0" xfId="0" applyFont="1" applyFill="1" applyAlignment="1">
      <alignment horizontal="center"/>
    </xf>
    <xf numFmtId="0" fontId="2" fillId="2" borderId="0" xfId="0" applyFont="1" applyFill="1" applyAlignment="1">
      <alignment horizontal="center" vertical="center" wrapText="1"/>
    </xf>
    <xf numFmtId="0" fontId="9" fillId="2" borderId="0" xfId="0" applyFont="1" applyFill="1" applyAlignment="1">
      <alignment horizontal="center"/>
    </xf>
    <xf numFmtId="0" fontId="10" fillId="0" borderId="0" xfId="0" applyFont="1" applyAlignment="1">
      <alignment horizontal="center"/>
    </xf>
    <xf numFmtId="0" fontId="0" fillId="0" borderId="0" xfId="0" applyAlignment="1">
      <alignment horizontal="left" vertical="top" wrapText="1"/>
    </xf>
    <xf numFmtId="0" fontId="15" fillId="2" borderId="0" xfId="0" applyFont="1" applyFill="1" applyAlignment="1">
      <alignment horizontal="left"/>
    </xf>
    <xf numFmtId="0" fontId="2" fillId="2" borderId="2" xfId="0" applyFont="1" applyFill="1" applyBorder="1" applyAlignment="1">
      <alignment horizontal="center"/>
    </xf>
    <xf numFmtId="0" fontId="13" fillId="0" borderId="0" xfId="0" applyFont="1" applyAlignment="1">
      <alignment horizontal="left" vertical="top" wrapText="1"/>
    </xf>
    <xf numFmtId="0" fontId="15" fillId="2" borderId="0" xfId="0" applyFont="1" applyFill="1" applyAlignment="1">
      <alignment horizontal="center"/>
    </xf>
    <xf numFmtId="0" fontId="2" fillId="2" borderId="0" xfId="0" applyFont="1" applyFill="1" applyAlignment="1">
      <alignment horizontal="center" vertical="center"/>
    </xf>
    <xf numFmtId="10" fontId="2" fillId="2" borderId="0" xfId="0" applyNumberFormat="1" applyFont="1" applyFill="1" applyAlignment="1">
      <alignment horizontal="center" vertical="center"/>
    </xf>
    <xf numFmtId="0" fontId="0" fillId="0" borderId="2" xfId="0" applyBorder="1" applyAlignment="1">
      <alignment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CF80-7520-4CCD-831D-709D816A3B88}">
  <dimension ref="A1:I28"/>
  <sheetViews>
    <sheetView tabSelected="1" topLeftCell="A21" zoomScale="97" zoomScaleNormal="75" workbookViewId="0">
      <selection activeCell="B27" sqref="B27"/>
    </sheetView>
  </sheetViews>
  <sheetFormatPr defaultRowHeight="14.5"/>
  <cols>
    <col min="1" max="1" width="33.453125" bestFit="1" customWidth="1"/>
    <col min="2" max="2" width="25.1796875" customWidth="1"/>
    <col min="3" max="3" width="10.54296875" bestFit="1" customWidth="1"/>
    <col min="4" max="4" width="25.08984375" bestFit="1" customWidth="1"/>
    <col min="5" max="5" width="13.90625" bestFit="1" customWidth="1"/>
    <col min="6" max="6" width="16.90625" bestFit="1" customWidth="1"/>
    <col min="9" max="9" width="8.453125" customWidth="1"/>
  </cols>
  <sheetData>
    <row r="1" spans="1:9" ht="21">
      <c r="A1" s="128" t="s">
        <v>85</v>
      </c>
      <c r="B1" s="128"/>
      <c r="C1" s="128"/>
      <c r="D1" s="128"/>
      <c r="E1" s="128"/>
      <c r="F1" s="128"/>
    </row>
    <row r="2" spans="1:9">
      <c r="A2" s="129" t="s">
        <v>125</v>
      </c>
      <c r="B2" s="129"/>
      <c r="C2" s="129"/>
      <c r="D2" s="129"/>
      <c r="E2" s="129"/>
      <c r="F2" s="129"/>
    </row>
    <row r="3" spans="1:9">
      <c r="A3" s="131" t="s">
        <v>128</v>
      </c>
      <c r="B3" s="131"/>
      <c r="C3" s="111">
        <v>46316</v>
      </c>
    </row>
    <row r="4" spans="1:9">
      <c r="A4" s="70" t="s">
        <v>86</v>
      </c>
      <c r="B4" t="s">
        <v>87</v>
      </c>
      <c r="D4" s="126" t="s">
        <v>90</v>
      </c>
      <c r="E4" s="126"/>
      <c r="F4" s="70"/>
      <c r="G4" s="112"/>
      <c r="I4" s="113"/>
    </row>
    <row r="5" spans="1:9">
      <c r="A5" s="70" t="s">
        <v>88</v>
      </c>
      <c r="B5" t="s">
        <v>89</v>
      </c>
      <c r="D5" t="s">
        <v>72</v>
      </c>
      <c r="E5" s="98">
        <f>DCF!B33</f>
        <v>288302.73405640328</v>
      </c>
    </row>
    <row r="6" spans="1:9">
      <c r="A6" s="70" t="s">
        <v>126</v>
      </c>
      <c r="B6" s="69">
        <v>46022</v>
      </c>
      <c r="D6" t="s">
        <v>73</v>
      </c>
      <c r="E6" s="98">
        <f>DCF!B35</f>
        <v>263841.73405640328</v>
      </c>
    </row>
    <row r="7" spans="1:9">
      <c r="A7" s="70" t="s">
        <v>104</v>
      </c>
      <c r="B7" s="4" t="s">
        <v>105</v>
      </c>
      <c r="D7" s="70" t="s">
        <v>91</v>
      </c>
      <c r="E7" s="99">
        <f>DCF!B37</f>
        <v>126.47448050020741</v>
      </c>
    </row>
    <row r="8" spans="1:9">
      <c r="A8" s="70" t="s">
        <v>106</v>
      </c>
      <c r="B8" t="s">
        <v>107</v>
      </c>
      <c r="D8" s="70" t="s">
        <v>92</v>
      </c>
      <c r="E8" s="99">
        <f>DCF!B38</f>
        <v>137.9</v>
      </c>
    </row>
    <row r="9" spans="1:9">
      <c r="D9" s="70" t="s">
        <v>93</v>
      </c>
      <c r="E9" s="100">
        <f>DCF!B39</f>
        <v>-8.2853658446646827E-2</v>
      </c>
    </row>
    <row r="11" spans="1:9">
      <c r="A11" s="126" t="s">
        <v>94</v>
      </c>
      <c r="B11" s="126"/>
      <c r="D11" s="126" t="s">
        <v>100</v>
      </c>
      <c r="E11" s="126"/>
      <c r="F11" s="126"/>
    </row>
    <row r="12" spans="1:9">
      <c r="A12" s="70" t="s">
        <v>58</v>
      </c>
      <c r="B12" s="64">
        <f>WACC!B32</f>
        <v>7.8362117589424671E-2</v>
      </c>
      <c r="D12" s="70" t="s">
        <v>99</v>
      </c>
      <c r="E12" s="70" t="s">
        <v>28</v>
      </c>
      <c r="F12" s="70" t="s">
        <v>32</v>
      </c>
    </row>
    <row r="13" spans="1:9">
      <c r="A13" s="70" t="s">
        <v>69</v>
      </c>
      <c r="B13" s="72">
        <f>DCF!B13</f>
        <v>2.5000000000000001E-2</v>
      </c>
      <c r="D13" t="s">
        <v>0</v>
      </c>
      <c r="E13" s="74">
        <f>Forecast!B3</f>
        <v>62850.73</v>
      </c>
      <c r="F13" s="74">
        <f>Forecast!F3</f>
        <v>78597.287472201744</v>
      </c>
    </row>
    <row r="14" spans="1:9">
      <c r="A14" s="70" t="s">
        <v>95</v>
      </c>
      <c r="B14" s="71" t="s">
        <v>96</v>
      </c>
      <c r="D14" t="s">
        <v>1</v>
      </c>
      <c r="E14" s="74">
        <f>Forecast!B5</f>
        <v>15084.1752</v>
      </c>
      <c r="F14" s="74">
        <f>Forecast!F5</f>
        <v>19256.335430689425</v>
      </c>
    </row>
    <row r="15" spans="1:9">
      <c r="A15" s="70" t="s">
        <v>97</v>
      </c>
      <c r="B15" s="72">
        <f>Forecast!B4</f>
        <v>7.0000000000000007E-2</v>
      </c>
      <c r="D15" t="s">
        <v>2</v>
      </c>
      <c r="E15" s="72">
        <f>Forecast!B6</f>
        <v>0.24</v>
      </c>
      <c r="F15" s="72">
        <f>Forecast!F6</f>
        <v>0.245</v>
      </c>
    </row>
    <row r="16" spans="1:9">
      <c r="A16" s="70" t="s">
        <v>98</v>
      </c>
      <c r="B16" s="72">
        <f>Forecast!F6</f>
        <v>0.245</v>
      </c>
      <c r="D16" t="s">
        <v>36</v>
      </c>
      <c r="E16" s="75">
        <f>Forecast!B17</f>
        <v>13583.804614000001</v>
      </c>
      <c r="F16" s="75">
        <f>Forecast!F17</f>
        <v>17216.762273287855</v>
      </c>
    </row>
    <row r="17" spans="1:6">
      <c r="E17" s="66"/>
    </row>
    <row r="18" spans="1:6">
      <c r="A18" s="126" t="s">
        <v>101</v>
      </c>
      <c r="B18" s="126"/>
      <c r="D18" s="126" t="s">
        <v>118</v>
      </c>
      <c r="E18" s="126"/>
      <c r="F18" s="126"/>
    </row>
    <row r="19" spans="1:6">
      <c r="A19" s="70" t="s">
        <v>102</v>
      </c>
      <c r="B19" s="73">
        <f>DCF!B9</f>
        <v>61515.200249487389</v>
      </c>
      <c r="C19" s="66"/>
      <c r="D19" s="95" t="s">
        <v>99</v>
      </c>
      <c r="E19" s="70" t="s">
        <v>119</v>
      </c>
      <c r="F19" s="110" t="s">
        <v>132</v>
      </c>
    </row>
    <row r="20" spans="1:6">
      <c r="A20" s="70" t="s">
        <v>71</v>
      </c>
      <c r="B20" s="73">
        <f>DCF!B17</f>
        <v>226787.53380691589</v>
      </c>
      <c r="D20" s="109" t="s">
        <v>130</v>
      </c>
      <c r="E20" s="96">
        <f>DCF!B33/'Historical Financials'!D3</f>
        <v>4.9081995617290604</v>
      </c>
      <c r="F20" s="97">
        <f>(WACC!B21+DCF!B42)/'Historical Financials'!D3</f>
        <v>5.3139789617562752</v>
      </c>
    </row>
    <row r="21" spans="1:6">
      <c r="A21" s="70" t="s">
        <v>103</v>
      </c>
      <c r="B21" s="64">
        <f>DCF!B18</f>
        <v>0.78662984084829179</v>
      </c>
      <c r="D21" s="109" t="s">
        <v>131</v>
      </c>
      <c r="E21" s="97">
        <f>DCF!B33/('Historical Financials'!D5+'Historical Financials'!D9)</f>
        <v>14.990003330546626</v>
      </c>
      <c r="F21" s="97">
        <f>(WACC!B21+DCF!B42)/('Historical Financials'!D5+'Historical Financials'!D9)</f>
        <v>16.2292835353092</v>
      </c>
    </row>
    <row r="22" spans="1:6" ht="52.5" customHeight="1">
      <c r="D22" s="133" t="s">
        <v>148</v>
      </c>
      <c r="E22" s="133"/>
      <c r="F22" s="133"/>
    </row>
    <row r="24" spans="1:6">
      <c r="A24" s="132" t="s">
        <v>120</v>
      </c>
      <c r="B24" s="132"/>
      <c r="D24" s="134" t="s">
        <v>127</v>
      </c>
      <c r="E24" s="134"/>
      <c r="F24" s="134"/>
    </row>
    <row r="25" spans="1:6" ht="116">
      <c r="A25" s="106" t="s">
        <v>124</v>
      </c>
      <c r="B25" s="105" t="s">
        <v>134</v>
      </c>
      <c r="D25" s="130" t="s">
        <v>133</v>
      </c>
      <c r="E25" s="130"/>
      <c r="F25" s="130"/>
    </row>
    <row r="26" spans="1:6" ht="102.5" customHeight="1">
      <c r="A26" s="107" t="s">
        <v>121</v>
      </c>
      <c r="B26" s="105" t="s">
        <v>135</v>
      </c>
    </row>
    <row r="27" spans="1:6" ht="105" customHeight="1">
      <c r="A27" s="107" t="s">
        <v>122</v>
      </c>
      <c r="B27" s="105" t="s">
        <v>136</v>
      </c>
    </row>
    <row r="28" spans="1:6" ht="174">
      <c r="A28" s="107" t="s">
        <v>123</v>
      </c>
      <c r="B28" s="137" t="s">
        <v>149</v>
      </c>
    </row>
  </sheetData>
  <mergeCells count="12">
    <mergeCell ref="D25:F25"/>
    <mergeCell ref="A3:B3"/>
    <mergeCell ref="A24:B24"/>
    <mergeCell ref="D22:F22"/>
    <mergeCell ref="A18:B18"/>
    <mergeCell ref="D18:F18"/>
    <mergeCell ref="D24:F24"/>
    <mergeCell ref="A1:F1"/>
    <mergeCell ref="A2:F2"/>
    <mergeCell ref="A11:B11"/>
    <mergeCell ref="D11:F11"/>
    <mergeCell ref="D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198-8896-4498-B9C0-FB56213E034F}">
  <dimension ref="A1:D41"/>
  <sheetViews>
    <sheetView topLeftCell="A17" zoomScale="102" workbookViewId="0">
      <selection activeCell="B31" sqref="B31"/>
    </sheetView>
  </sheetViews>
  <sheetFormatPr defaultRowHeight="14.5"/>
  <cols>
    <col min="1" max="1" width="36" bestFit="1" customWidth="1"/>
    <col min="2" max="2" width="11.36328125" bestFit="1" customWidth="1"/>
    <col min="6" max="6" width="43.36328125" bestFit="1" customWidth="1"/>
  </cols>
  <sheetData>
    <row r="1" spans="1:4">
      <c r="A1" s="127" t="s">
        <v>10</v>
      </c>
      <c r="B1" s="127"/>
      <c r="C1" s="127"/>
      <c r="D1" s="127"/>
    </row>
    <row r="2" spans="1:4">
      <c r="A2" s="10"/>
      <c r="B2" s="27">
        <v>2023</v>
      </c>
      <c r="C2" s="27">
        <v>2024</v>
      </c>
      <c r="D2" s="27">
        <v>2025</v>
      </c>
    </row>
    <row r="3" spans="1:4">
      <c r="A3" s="53" t="s">
        <v>0</v>
      </c>
      <c r="B3" s="57">
        <v>45811</v>
      </c>
      <c r="C3" s="57">
        <v>54073</v>
      </c>
      <c r="D3" s="57">
        <v>58739</v>
      </c>
    </row>
    <row r="4" spans="1:4">
      <c r="A4" s="38" t="s">
        <v>25</v>
      </c>
      <c r="B4" s="54" t="s">
        <v>26</v>
      </c>
      <c r="C4" s="55">
        <f>C3/B3-1</f>
        <v>0.18034969767086517</v>
      </c>
      <c r="D4" s="55">
        <f>D3/C3-1</f>
        <v>8.6290755090340898E-2</v>
      </c>
    </row>
    <row r="5" spans="1:4">
      <c r="A5" s="53" t="s">
        <v>1</v>
      </c>
      <c r="B5" s="57">
        <v>8193</v>
      </c>
      <c r="C5" s="57">
        <v>10003</v>
      </c>
      <c r="D5" s="57">
        <v>13743</v>
      </c>
    </row>
    <row r="6" spans="1:4">
      <c r="A6" s="40" t="s">
        <v>2</v>
      </c>
      <c r="B6" s="6">
        <f>B5/B3</f>
        <v>0.17884350920084696</v>
      </c>
      <c r="C6" s="6">
        <f>C5/C3</f>
        <v>0.18499066077339893</v>
      </c>
      <c r="D6" s="6">
        <f>D5/D3</f>
        <v>0.23396721088203748</v>
      </c>
    </row>
    <row r="7" spans="1:4">
      <c r="A7" s="38" t="s">
        <v>3</v>
      </c>
      <c r="B7" s="43">
        <v>-938</v>
      </c>
      <c r="C7" s="58">
        <v>-1650</v>
      </c>
      <c r="D7" s="58">
        <v>-2169</v>
      </c>
    </row>
    <row r="8" spans="1:4">
      <c r="A8" s="53" t="s">
        <v>4</v>
      </c>
      <c r="B8" s="57">
        <v>5961</v>
      </c>
      <c r="C8" s="57">
        <v>7041</v>
      </c>
      <c r="D8" s="57">
        <v>10233</v>
      </c>
    </row>
    <row r="9" spans="1:4">
      <c r="A9" s="38" t="s">
        <v>5</v>
      </c>
      <c r="B9" s="81">
        <f>B21</f>
        <v>4934</v>
      </c>
      <c r="C9" s="81">
        <f t="shared" ref="C9:D9" si="0">C21</f>
        <v>5065</v>
      </c>
      <c r="D9" s="81">
        <f t="shared" si="0"/>
        <v>5490</v>
      </c>
    </row>
    <row r="10" spans="1:4">
      <c r="A10" s="38" t="s">
        <v>79</v>
      </c>
      <c r="B10" s="58">
        <v>-3487</v>
      </c>
      <c r="C10" s="58">
        <v>-4463</v>
      </c>
      <c r="D10" s="58">
        <v>-5769</v>
      </c>
    </row>
    <row r="11" spans="1:4">
      <c r="A11" s="38" t="s">
        <v>6</v>
      </c>
      <c r="B11" s="58">
        <v>10345</v>
      </c>
      <c r="C11" s="58">
        <v>11861</v>
      </c>
      <c r="D11" s="58">
        <v>14575</v>
      </c>
    </row>
    <row r="12" spans="1:4">
      <c r="A12" s="38" t="s">
        <v>7</v>
      </c>
      <c r="B12" s="59">
        <v>5840</v>
      </c>
      <c r="C12" s="59">
        <v>5488</v>
      </c>
      <c r="D12" s="59">
        <v>5711</v>
      </c>
    </row>
    <row r="13" spans="1:4">
      <c r="A13" s="38" t="s">
        <v>8</v>
      </c>
      <c r="B13" s="42">
        <v>28622</v>
      </c>
      <c r="C13" s="42">
        <v>30295</v>
      </c>
      <c r="D13" s="42">
        <v>29622</v>
      </c>
    </row>
    <row r="14" spans="1:4">
      <c r="A14" s="121" t="s">
        <v>145</v>
      </c>
      <c r="B14" s="56">
        <f>B41</f>
        <v>-4053</v>
      </c>
      <c r="C14" s="56">
        <f>C41</f>
        <v>-4304</v>
      </c>
      <c r="D14" s="56">
        <f>D41</f>
        <v>-3886</v>
      </c>
    </row>
    <row r="16" spans="1:4">
      <c r="A16" s="127" t="s">
        <v>22</v>
      </c>
      <c r="B16" s="127"/>
      <c r="C16" s="127"/>
      <c r="D16" s="127"/>
    </row>
    <row r="17" spans="1:4">
      <c r="A17" s="1"/>
      <c r="B17" s="28">
        <v>2023</v>
      </c>
      <c r="C17" s="28">
        <v>2024</v>
      </c>
      <c r="D17" s="28">
        <v>2025</v>
      </c>
    </row>
    <row r="18" spans="1:4">
      <c r="A18" s="3" t="s">
        <v>19</v>
      </c>
      <c r="B18" s="61">
        <v>733</v>
      </c>
      <c r="C18" s="61">
        <v>799</v>
      </c>
      <c r="D18" s="61">
        <v>879</v>
      </c>
    </row>
    <row r="19" spans="1:4">
      <c r="A19" s="3" t="s">
        <v>20</v>
      </c>
      <c r="B19" s="61">
        <v>275</v>
      </c>
      <c r="C19" s="61">
        <v>343</v>
      </c>
      <c r="D19" s="61">
        <v>404</v>
      </c>
    </row>
    <row r="20" spans="1:4">
      <c r="A20" s="3" t="s">
        <v>21</v>
      </c>
      <c r="B20" s="62">
        <v>3926</v>
      </c>
      <c r="C20" s="62">
        <v>3923</v>
      </c>
      <c r="D20" s="62">
        <v>4207</v>
      </c>
    </row>
    <row r="21" spans="1:4">
      <c r="A21" s="3" t="s">
        <v>5</v>
      </c>
      <c r="B21" s="8">
        <f>SUM(B18:B20)</f>
        <v>4934</v>
      </c>
      <c r="C21" s="8">
        <f>SUM(C18:C20)</f>
        <v>5065</v>
      </c>
      <c r="D21" s="8">
        <f>SUM(D18:D20)</f>
        <v>5490</v>
      </c>
    </row>
    <row r="23" spans="1:4">
      <c r="A23" s="127" t="s">
        <v>27</v>
      </c>
      <c r="B23" s="127"/>
      <c r="C23" s="127"/>
      <c r="D23" s="127"/>
    </row>
    <row r="24" spans="1:4">
      <c r="A24" s="1"/>
      <c r="B24" s="28">
        <v>2023</v>
      </c>
      <c r="C24" s="28">
        <v>2024</v>
      </c>
      <c r="D24" s="28">
        <v>2025</v>
      </c>
    </row>
    <row r="25" spans="1:4">
      <c r="A25" s="3" t="s">
        <v>23</v>
      </c>
      <c r="B25" s="42">
        <v>6899</v>
      </c>
      <c r="C25" s="42">
        <v>8691</v>
      </c>
      <c r="D25" s="42">
        <v>12402</v>
      </c>
    </row>
    <row r="26" spans="1:4">
      <c r="A26" s="3" t="s">
        <v>3</v>
      </c>
      <c r="B26" s="61">
        <f>-B7</f>
        <v>938</v>
      </c>
      <c r="C26" s="61">
        <f>-C7</f>
        <v>1650</v>
      </c>
      <c r="D26" s="61">
        <f>-D7</f>
        <v>2169</v>
      </c>
    </row>
    <row r="27" spans="1:4">
      <c r="A27" s="3" t="s">
        <v>24</v>
      </c>
      <c r="B27" s="9">
        <f>B26/B25</f>
        <v>0.13596173358457747</v>
      </c>
      <c r="C27" s="9">
        <f t="shared" ref="C27:D27" si="1">C26/C25</f>
        <v>0.18985157059026581</v>
      </c>
      <c r="D27" s="9">
        <f t="shared" si="1"/>
        <v>0.1748911465892598</v>
      </c>
    </row>
    <row r="29" spans="1:4">
      <c r="A29" s="135" t="s">
        <v>18</v>
      </c>
      <c r="B29" s="135"/>
      <c r="C29" s="135"/>
      <c r="D29" s="135"/>
    </row>
    <row r="30" spans="1:4">
      <c r="B30" s="29" t="s">
        <v>11</v>
      </c>
      <c r="C30" s="29" t="s">
        <v>12</v>
      </c>
      <c r="D30" s="29" t="s">
        <v>13</v>
      </c>
    </row>
    <row r="31" spans="1:4">
      <c r="A31" s="4" t="s">
        <v>14</v>
      </c>
      <c r="B31" s="59">
        <v>5424</v>
      </c>
      <c r="C31" s="59">
        <v>5288</v>
      </c>
      <c r="D31" s="59">
        <v>6557</v>
      </c>
    </row>
    <row r="32" spans="1:4">
      <c r="A32" s="4" t="s">
        <v>15</v>
      </c>
      <c r="B32" s="59">
        <v>12126</v>
      </c>
      <c r="C32" s="59">
        <v>12972</v>
      </c>
      <c r="D32" s="59">
        <v>15177</v>
      </c>
    </row>
    <row r="33" spans="1:4">
      <c r="A33" s="4" t="s">
        <v>16</v>
      </c>
      <c r="B33" s="59">
        <v>-22374</v>
      </c>
      <c r="C33" s="59">
        <v>-22465</v>
      </c>
      <c r="D33" s="59">
        <v>-25280</v>
      </c>
    </row>
    <row r="34" spans="1:4">
      <c r="A34" s="4" t="s">
        <v>17</v>
      </c>
      <c r="B34" s="59">
        <v>-1028</v>
      </c>
      <c r="C34" s="59">
        <v>-1269</v>
      </c>
      <c r="D34" s="60">
        <v>-686</v>
      </c>
    </row>
    <row r="35" spans="1:4">
      <c r="A35" s="63" t="s">
        <v>9</v>
      </c>
      <c r="B35" s="56">
        <f>SUM(B31:B34)</f>
        <v>-5852</v>
      </c>
      <c r="C35" s="56">
        <f t="shared" ref="C35:D35" si="2">SUM(C31:C34)</f>
        <v>-5474</v>
      </c>
      <c r="D35" s="56">
        <f t="shared" si="2"/>
        <v>-4232</v>
      </c>
    </row>
    <row r="38" spans="1:4">
      <c r="A38" s="119" t="s">
        <v>141</v>
      </c>
      <c r="B38" s="120">
        <v>2023</v>
      </c>
      <c r="C38" s="120">
        <v>2024</v>
      </c>
      <c r="D38" s="120">
        <v>2025</v>
      </c>
    </row>
    <row r="39" spans="1:4">
      <c r="A39" t="s">
        <v>142</v>
      </c>
      <c r="B39" s="34">
        <v>966</v>
      </c>
      <c r="C39" s="34">
        <v>1170</v>
      </c>
      <c r="D39" s="34">
        <v>346</v>
      </c>
    </row>
    <row r="40" spans="1:4">
      <c r="A40" t="s">
        <v>143</v>
      </c>
      <c r="B40" s="34">
        <v>833</v>
      </c>
      <c r="C40" s="34">
        <v>0</v>
      </c>
      <c r="D40" s="34">
        <v>0</v>
      </c>
    </row>
    <row r="41" spans="1:4">
      <c r="A41" t="s">
        <v>144</v>
      </c>
      <c r="B41" s="116">
        <f>B35+B39+B40</f>
        <v>-4053</v>
      </c>
      <c r="C41" s="116">
        <f>C35+C39+C40</f>
        <v>-4304</v>
      </c>
      <c r="D41" s="116">
        <f>D35+D39+D40</f>
        <v>-3886</v>
      </c>
    </row>
  </sheetData>
  <mergeCells count="4">
    <mergeCell ref="A29:D29"/>
    <mergeCell ref="A1:D1"/>
    <mergeCell ref="A16:D16"/>
    <mergeCell ref="A23:D23"/>
  </mergeCells>
  <phoneticPr fontId="3" type="noConversion"/>
  <pageMargins left="0.7" right="0.7" top="0.75" bottom="0.75" header="0.3" footer="0.3"/>
  <ignoredErrors>
    <ignoredError sqref="B21:D21" formulaRange="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82BA-B656-4B74-9969-1BB8C64EC77D}">
  <dimension ref="A1:F27"/>
  <sheetViews>
    <sheetView topLeftCell="A6" zoomScale="101" workbookViewId="0">
      <selection activeCell="H12" sqref="H12"/>
    </sheetView>
  </sheetViews>
  <sheetFormatPr defaultRowHeight="14.5"/>
  <cols>
    <col min="1" max="1" width="26.6328125" bestFit="1" customWidth="1"/>
    <col min="2" max="2" width="11.6328125" bestFit="1" customWidth="1"/>
    <col min="3" max="3" width="10.6328125" bestFit="1" customWidth="1"/>
    <col min="4" max="6" width="10.26953125" bestFit="1" customWidth="1"/>
  </cols>
  <sheetData>
    <row r="1" spans="1:6">
      <c r="A1" s="135" t="s">
        <v>37</v>
      </c>
      <c r="B1" s="135"/>
      <c r="C1" s="135"/>
      <c r="D1" s="135"/>
      <c r="E1" s="135"/>
      <c r="F1" s="135"/>
    </row>
    <row r="2" spans="1:6">
      <c r="B2" s="27" t="s">
        <v>28</v>
      </c>
      <c r="C2" s="27" t="s">
        <v>29</v>
      </c>
      <c r="D2" s="27" t="s">
        <v>30</v>
      </c>
      <c r="E2" s="27" t="s">
        <v>31</v>
      </c>
      <c r="F2" s="27" t="s">
        <v>32</v>
      </c>
    </row>
    <row r="3" spans="1:6">
      <c r="A3" s="47" t="s">
        <v>0</v>
      </c>
      <c r="B3" s="78">
        <f>'Historical Financials'!D3*(1+B4)</f>
        <v>62850.73</v>
      </c>
      <c r="C3" s="39">
        <f>B3*(1+C4)</f>
        <v>66936.027449999994</v>
      </c>
      <c r="D3" s="39">
        <f t="shared" ref="D3:F3" si="0">C3*(1+D4)</f>
        <v>70952.189096999995</v>
      </c>
      <c r="E3" s="39">
        <f t="shared" si="0"/>
        <v>74854.559497334994</v>
      </c>
      <c r="F3" s="39">
        <f t="shared" si="0"/>
        <v>78597.287472201744</v>
      </c>
    </row>
    <row r="4" spans="1:6">
      <c r="A4" s="47" t="s">
        <v>25</v>
      </c>
      <c r="B4" s="31">
        <v>7.0000000000000007E-2</v>
      </c>
      <c r="C4" s="31">
        <v>6.5000000000000002E-2</v>
      </c>
      <c r="D4" s="31">
        <v>0.06</v>
      </c>
      <c r="E4" s="31">
        <v>5.5E-2</v>
      </c>
      <c r="F4" s="31">
        <v>0.05</v>
      </c>
    </row>
    <row r="5" spans="1:6">
      <c r="A5" s="47" t="s">
        <v>1</v>
      </c>
      <c r="B5" s="39">
        <f>B3*B6</f>
        <v>15084.1752</v>
      </c>
      <c r="C5" s="39">
        <f t="shared" ref="C5:F5" si="1">C3*C6</f>
        <v>16231.986656624998</v>
      </c>
      <c r="D5" s="39">
        <f t="shared" si="1"/>
        <v>17383.286328765</v>
      </c>
      <c r="E5" s="39">
        <f t="shared" si="1"/>
        <v>18339.367076847073</v>
      </c>
      <c r="F5" s="39">
        <f t="shared" si="1"/>
        <v>19256.335430689425</v>
      </c>
    </row>
    <row r="6" spans="1:6">
      <c r="A6" s="47" t="s">
        <v>2</v>
      </c>
      <c r="B6" s="31">
        <v>0.24</v>
      </c>
      <c r="C6" s="32">
        <v>0.24249999999999999</v>
      </c>
      <c r="D6" s="31">
        <v>0.245</v>
      </c>
      <c r="E6" s="31">
        <v>0.245</v>
      </c>
      <c r="F6" s="31">
        <v>0.245</v>
      </c>
    </row>
    <row r="7" spans="1:6">
      <c r="A7" s="47" t="s">
        <v>33</v>
      </c>
      <c r="B7" s="33">
        <v>0.18</v>
      </c>
      <c r="C7" s="33">
        <v>0.18</v>
      </c>
      <c r="D7" s="33">
        <v>0.18</v>
      </c>
      <c r="E7" s="33">
        <v>0.18</v>
      </c>
      <c r="F7" s="33">
        <v>0.18</v>
      </c>
    </row>
    <row r="8" spans="1:6">
      <c r="A8" s="47" t="s">
        <v>34</v>
      </c>
      <c r="B8" s="39">
        <f>B5*(1-B7)</f>
        <v>12369.023664</v>
      </c>
      <c r="C8" s="39">
        <f t="shared" ref="C8:F8" si="2">C5*(1-C7)</f>
        <v>13310.2290584325</v>
      </c>
      <c r="D8" s="39">
        <f t="shared" si="2"/>
        <v>14254.2947895873</v>
      </c>
      <c r="E8" s="39">
        <f t="shared" si="2"/>
        <v>15038.281003014601</v>
      </c>
      <c r="F8" s="39">
        <f t="shared" si="2"/>
        <v>15790.195053165329</v>
      </c>
    </row>
    <row r="9" spans="1:6">
      <c r="A9" s="47" t="s">
        <v>5</v>
      </c>
      <c r="B9" s="39">
        <f>B3*B10</f>
        <v>5970.8193500000007</v>
      </c>
      <c r="C9" s="39">
        <f t="shared" ref="C9:F9" si="3">C3*C10</f>
        <v>6358.9226077499998</v>
      </c>
      <c r="D9" s="39">
        <f t="shared" si="3"/>
        <v>6740.4579642149993</v>
      </c>
      <c r="E9" s="39">
        <f t="shared" si="3"/>
        <v>7111.1831522468246</v>
      </c>
      <c r="F9" s="39">
        <f t="shared" si="3"/>
        <v>7466.7423098591662</v>
      </c>
    </row>
    <row r="10" spans="1:6">
      <c r="A10" s="47" t="s">
        <v>38</v>
      </c>
      <c r="B10" s="33">
        <v>9.5000000000000001E-2</v>
      </c>
      <c r="C10" s="33">
        <v>9.5000000000000001E-2</v>
      </c>
      <c r="D10" s="33">
        <v>9.5000000000000001E-2</v>
      </c>
      <c r="E10" s="33">
        <v>9.5000000000000001E-2</v>
      </c>
      <c r="F10" s="33">
        <v>9.5000000000000001E-2</v>
      </c>
    </row>
    <row r="11" spans="1:6">
      <c r="A11" s="86" t="s">
        <v>109</v>
      </c>
      <c r="B11" s="83">
        <f>B5+B9</f>
        <v>21054.994549999999</v>
      </c>
      <c r="C11" s="83">
        <f t="shared" ref="C11:F11" si="4">C5+C9</f>
        <v>22590.909264374997</v>
      </c>
      <c r="D11" s="83">
        <f t="shared" si="4"/>
        <v>24123.744292979998</v>
      </c>
      <c r="E11" s="83">
        <f t="shared" si="4"/>
        <v>25450.550229093897</v>
      </c>
      <c r="F11" s="83">
        <f t="shared" si="4"/>
        <v>26723.077740548593</v>
      </c>
    </row>
    <row r="12" spans="1:6">
      <c r="A12" s="48" t="s">
        <v>44</v>
      </c>
      <c r="B12" s="35">
        <v>0.08</v>
      </c>
      <c r="C12" s="35">
        <v>0.08</v>
      </c>
      <c r="D12" s="35">
        <v>0.08</v>
      </c>
      <c r="E12" s="35">
        <v>0.08</v>
      </c>
      <c r="F12" s="36">
        <v>0.08</v>
      </c>
    </row>
    <row r="13" spans="1:6">
      <c r="A13" s="47" t="s">
        <v>79</v>
      </c>
      <c r="B13" s="39">
        <f>B3*B12</f>
        <v>5028.0584000000008</v>
      </c>
      <c r="C13" s="39">
        <f>C3*C12</f>
        <v>5354.8821959999996</v>
      </c>
      <c r="D13" s="39">
        <f>D3*D12</f>
        <v>5676.1751277599997</v>
      </c>
      <c r="E13" s="39">
        <f>E3*E12</f>
        <v>5988.3647597867994</v>
      </c>
      <c r="F13" s="39">
        <f>F3*F12</f>
        <v>6287.7829977761394</v>
      </c>
    </row>
    <row r="14" spans="1:6">
      <c r="A14" t="s">
        <v>151</v>
      </c>
      <c r="B14" s="39">
        <f>B3*B15</f>
        <v>-4158.0199999999995</v>
      </c>
      <c r="C14" s="39">
        <f>C3*C15</f>
        <v>-4428.291299999999</v>
      </c>
      <c r="D14" s="39">
        <f>D3*D15</f>
        <v>-4693.988777999999</v>
      </c>
      <c r="E14" s="39">
        <f>E3*E15</f>
        <v>-4952.1581607899989</v>
      </c>
      <c r="F14" s="39">
        <f>F3*F15</f>
        <v>-5199.7660688294991</v>
      </c>
    </row>
    <row r="15" spans="1:6">
      <c r="A15" s="48" t="s">
        <v>45</v>
      </c>
      <c r="B15" s="122">
        <f>'Historical Financials'!$D$14/'Historical Financials'!$D$3</f>
        <v>-6.615706770629394E-2</v>
      </c>
      <c r="C15" s="123">
        <f>$B$15</f>
        <v>-6.615706770629394E-2</v>
      </c>
      <c r="D15" s="123">
        <f t="shared" ref="D15:F15" si="5">$B$15</f>
        <v>-6.615706770629394E-2</v>
      </c>
      <c r="E15" s="123">
        <f t="shared" si="5"/>
        <v>-6.615706770629394E-2</v>
      </c>
      <c r="F15" s="123">
        <f t="shared" si="5"/>
        <v>-6.615706770629394E-2</v>
      </c>
    </row>
    <row r="16" spans="1:6">
      <c r="A16" s="47" t="s">
        <v>35</v>
      </c>
      <c r="B16" s="78">
        <f>B14-'Historical Financials'!D14</f>
        <v>-272.01999999999953</v>
      </c>
      <c r="C16" s="77">
        <f>C14-B14</f>
        <v>-270.27129999999943</v>
      </c>
      <c r="D16" s="77">
        <f>D14-C14</f>
        <v>-265.69747800000005</v>
      </c>
      <c r="E16" s="77">
        <f>E14-D14</f>
        <v>-258.16938278999987</v>
      </c>
      <c r="F16" s="77">
        <f>F14-E14</f>
        <v>-247.60790803950022</v>
      </c>
    </row>
    <row r="17" spans="1:6">
      <c r="A17" s="88" t="s">
        <v>36</v>
      </c>
      <c r="B17" s="87">
        <f>B8+B9-B13-B16</f>
        <v>13583.804614000001</v>
      </c>
      <c r="C17" s="87">
        <f>C8+C9-C13-C16</f>
        <v>14584.540770182502</v>
      </c>
      <c r="D17" s="87">
        <f>D8+D9-D13-D16</f>
        <v>15584.275104042299</v>
      </c>
      <c r="E17" s="87">
        <f>E8+E9-E13-E16</f>
        <v>16419.268778264624</v>
      </c>
      <c r="F17" s="87">
        <f>F8+F9-F13-F16</f>
        <v>17216.762273287855</v>
      </c>
    </row>
    <row r="18" spans="1:6">
      <c r="F18" s="3"/>
    </row>
    <row r="19" spans="1:6">
      <c r="A19" s="135" t="s">
        <v>80</v>
      </c>
      <c r="B19" s="135"/>
      <c r="C19" s="135"/>
      <c r="D19" s="135"/>
      <c r="F19" s="3"/>
    </row>
    <row r="20" spans="1:6">
      <c r="B20" s="27" t="s">
        <v>11</v>
      </c>
      <c r="C20" s="27" t="s">
        <v>12</v>
      </c>
      <c r="D20" s="27" t="s">
        <v>13</v>
      </c>
    </row>
    <row r="21" spans="1:6">
      <c r="A21" s="40" t="s">
        <v>39</v>
      </c>
      <c r="B21" s="5">
        <v>1361</v>
      </c>
      <c r="C21" s="5">
        <v>1924</v>
      </c>
      <c r="D21" s="5">
        <v>2810</v>
      </c>
    </row>
    <row r="22" spans="1:6">
      <c r="A22" s="40" t="s">
        <v>40</v>
      </c>
      <c r="B22" s="5">
        <v>2417</v>
      </c>
      <c r="C22" s="5">
        <v>2662</v>
      </c>
      <c r="D22" s="41">
        <v>3095</v>
      </c>
    </row>
    <row r="23" spans="1:6">
      <c r="A23" s="40" t="s">
        <v>41</v>
      </c>
      <c r="B23" s="5">
        <v>-291</v>
      </c>
      <c r="C23" s="5">
        <v>-123</v>
      </c>
      <c r="D23" s="5">
        <v>-136</v>
      </c>
    </row>
    <row r="24" spans="1:6">
      <c r="A24" s="49" t="s">
        <v>42</v>
      </c>
      <c r="B24" s="79">
        <f>B22+B23</f>
        <v>2126</v>
      </c>
      <c r="C24" s="79">
        <f t="shared" ref="C24:D24" si="6">C22+C23</f>
        <v>2539</v>
      </c>
      <c r="D24" s="79">
        <f t="shared" si="6"/>
        <v>2959</v>
      </c>
    </row>
    <row r="25" spans="1:6">
      <c r="A25" s="49" t="s">
        <v>43</v>
      </c>
      <c r="B25" s="79">
        <f>B21+B24</f>
        <v>3487</v>
      </c>
      <c r="C25" s="79">
        <f t="shared" ref="C25:D25" si="7">C21+C24</f>
        <v>4463</v>
      </c>
      <c r="D25" s="79">
        <f t="shared" si="7"/>
        <v>5769</v>
      </c>
    </row>
    <row r="26" spans="1:6">
      <c r="A26" s="49" t="s">
        <v>44</v>
      </c>
      <c r="B26" s="72">
        <f>B25/'Historical Financials'!B3</f>
        <v>7.6117089781930103E-2</v>
      </c>
      <c r="C26" s="72">
        <f>C25/'Historical Financials'!C3</f>
        <v>8.2536570931888376E-2</v>
      </c>
      <c r="D26" s="72">
        <f>D25/'Historical Financials'!D3</f>
        <v>9.8214133710141469E-2</v>
      </c>
    </row>
    <row r="27" spans="1:6">
      <c r="A27" s="49" t="s">
        <v>45</v>
      </c>
      <c r="B27" s="72">
        <f>'Historical Financials'!B14/'Historical Financials'!B3</f>
        <v>-8.8472200999759887E-2</v>
      </c>
      <c r="C27" s="72">
        <f>'Historical Financials'!C14/'Historical Financials'!C3</f>
        <v>-7.959610156640097E-2</v>
      </c>
      <c r="D27" s="72">
        <f>'Historical Financials'!D14/'Historical Financials'!D3</f>
        <v>-6.615706770629394E-2</v>
      </c>
    </row>
  </sheetData>
  <mergeCells count="2">
    <mergeCell ref="A1:F1"/>
    <mergeCell ref="A19:D19"/>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2B7ED-2170-4D1E-8C88-43BD5530E8B5}">
  <dimension ref="A1:E33"/>
  <sheetViews>
    <sheetView zoomScale="85" workbookViewId="0">
      <selection activeCell="B6" sqref="B6"/>
    </sheetView>
  </sheetViews>
  <sheetFormatPr defaultRowHeight="14.5"/>
  <cols>
    <col min="1" max="1" width="32.453125" bestFit="1" customWidth="1"/>
    <col min="2" max="2" width="18.90625" bestFit="1" customWidth="1"/>
    <col min="4" max="4" width="20.81640625" bestFit="1" customWidth="1"/>
  </cols>
  <sheetData>
    <row r="1" spans="1:5">
      <c r="A1" s="126" t="s">
        <v>46</v>
      </c>
      <c r="B1" s="126"/>
    </row>
    <row r="3" spans="1:5">
      <c r="A3" s="127" t="s">
        <v>47</v>
      </c>
      <c r="B3" s="127"/>
      <c r="D3" s="126" t="s">
        <v>139</v>
      </c>
      <c r="E3" s="126"/>
    </row>
    <row r="4" spans="1:5">
      <c r="A4" s="44" t="s">
        <v>48</v>
      </c>
      <c r="B4" s="37">
        <v>4.1799999999999997E-2</v>
      </c>
      <c r="D4" t="s">
        <v>140</v>
      </c>
      <c r="E4" s="34">
        <v>0.89</v>
      </c>
    </row>
    <row r="5" spans="1:5">
      <c r="A5" s="101" t="s">
        <v>49</v>
      </c>
      <c r="B5" s="110">
        <f>$E$4*(1+(1-B13)*B22/B21)</f>
        <v>0.965147300132987</v>
      </c>
    </row>
    <row r="6" spans="1:5">
      <c r="A6" s="44" t="s">
        <v>50</v>
      </c>
      <c r="B6" s="37">
        <v>4.2299999999999997E-2</v>
      </c>
    </row>
    <row r="7" spans="1:5">
      <c r="A7" s="101" t="s">
        <v>47</v>
      </c>
      <c r="B7" s="102">
        <f>B4+(B5*B6)</f>
        <v>8.2625730795625352E-2</v>
      </c>
    </row>
    <row r="8" spans="1:5">
      <c r="A8" s="44"/>
    </row>
    <row r="9" spans="1:5">
      <c r="A9" s="127" t="s">
        <v>51</v>
      </c>
      <c r="B9" s="127"/>
    </row>
    <row r="10" spans="1:5">
      <c r="A10" s="44" t="s">
        <v>52</v>
      </c>
      <c r="B10" s="46">
        <v>1335</v>
      </c>
    </row>
    <row r="11" spans="1:5">
      <c r="A11" s="44" t="s">
        <v>8</v>
      </c>
      <c r="B11" s="118">
        <f>'Historical Financials'!D13</f>
        <v>29622</v>
      </c>
    </row>
    <row r="12" spans="1:5">
      <c r="A12" s="44" t="s">
        <v>53</v>
      </c>
      <c r="B12" s="45">
        <f>B10/B11</f>
        <v>4.5067854972655461E-2</v>
      </c>
    </row>
    <row r="13" spans="1:5">
      <c r="A13" s="3" t="s">
        <v>33</v>
      </c>
      <c r="B13" s="117">
        <f>Forecast!B7</f>
        <v>0.18</v>
      </c>
    </row>
    <row r="14" spans="1:5">
      <c r="A14" s="10" t="s">
        <v>54</v>
      </c>
      <c r="B14" s="103">
        <f>B12*(1-B13)</f>
        <v>3.6955641077577484E-2</v>
      </c>
    </row>
    <row r="15" spans="1:5">
      <c r="A15" s="3"/>
    </row>
    <row r="16" spans="1:5">
      <c r="A16" s="127" t="s">
        <v>55</v>
      </c>
      <c r="B16" s="127"/>
      <c r="C16" s="1"/>
    </row>
    <row r="17" spans="1:4">
      <c r="A17" s="3" t="s">
        <v>59</v>
      </c>
      <c r="B17" s="80">
        <v>137.9</v>
      </c>
    </row>
    <row r="18" spans="1:4">
      <c r="A18" s="3" t="s">
        <v>60</v>
      </c>
      <c r="B18" s="108">
        <v>1550907927</v>
      </c>
    </row>
    <row r="19" spans="1:4">
      <c r="A19" s="3" t="s">
        <v>61</v>
      </c>
      <c r="B19" s="18">
        <f>B17*B18/1000000</f>
        <v>213870.2031333</v>
      </c>
    </row>
    <row r="20" spans="1:4">
      <c r="A20" s="3" t="s">
        <v>62</v>
      </c>
      <c r="B20" s="34">
        <v>1.3451</v>
      </c>
    </row>
    <row r="21" spans="1:4">
      <c r="A21" s="3" t="s">
        <v>63</v>
      </c>
      <c r="B21" s="50">
        <f>B19*B20</f>
        <v>287676.81023460184</v>
      </c>
    </row>
    <row r="22" spans="1:4">
      <c r="A22" s="3" t="s">
        <v>8</v>
      </c>
      <c r="B22" s="50">
        <f>B11</f>
        <v>29622</v>
      </c>
    </row>
    <row r="23" spans="1:4">
      <c r="A23" s="3" t="s">
        <v>78</v>
      </c>
      <c r="B23" s="12">
        <f>B21+B22</f>
        <v>317298.81023460184</v>
      </c>
    </row>
    <row r="24" spans="1:4">
      <c r="A24" s="3" t="s">
        <v>56</v>
      </c>
      <c r="B24" s="51">
        <f>B21/B23</f>
        <v>0.90664320493953843</v>
      </c>
    </row>
    <row r="25" spans="1:4">
      <c r="A25" s="52" t="s">
        <v>57</v>
      </c>
      <c r="B25" s="51">
        <f>B22/B23</f>
        <v>9.3356795060461531E-2</v>
      </c>
    </row>
    <row r="27" spans="1:4">
      <c r="A27" s="127" t="s">
        <v>58</v>
      </c>
      <c r="B27" s="127"/>
      <c r="C27" s="1"/>
      <c r="D27" s="1"/>
    </row>
    <row r="28" spans="1:4">
      <c r="A28" s="3" t="s">
        <v>47</v>
      </c>
      <c r="B28" s="17">
        <f>B7</f>
        <v>8.2625730795625352E-2</v>
      </c>
      <c r="C28" s="10"/>
      <c r="D28" s="3"/>
    </row>
    <row r="29" spans="1:4">
      <c r="A29" s="3" t="s">
        <v>56</v>
      </c>
      <c r="B29" s="17">
        <f>B24</f>
        <v>0.90664320493953843</v>
      </c>
      <c r="C29" s="10"/>
    </row>
    <row r="30" spans="1:4">
      <c r="A30" s="3" t="s">
        <v>54</v>
      </c>
      <c r="B30" s="17">
        <f>B14</f>
        <v>3.6955641077577484E-2</v>
      </c>
      <c r="C30" s="10"/>
    </row>
    <row r="31" spans="1:4">
      <c r="A31" s="3" t="s">
        <v>57</v>
      </c>
      <c r="B31" s="17">
        <f>B25</f>
        <v>9.3356795060461531E-2</v>
      </c>
      <c r="C31" s="10"/>
    </row>
    <row r="32" spans="1:4">
      <c r="A32" s="10" t="s">
        <v>58</v>
      </c>
      <c r="B32" s="104">
        <f>B29*B28+B31*B30</f>
        <v>7.8362117589424671E-2</v>
      </c>
      <c r="C32" s="10"/>
    </row>
    <row r="33" spans="3:3">
      <c r="C33" s="10"/>
    </row>
  </sheetData>
  <mergeCells count="6">
    <mergeCell ref="A1:B1"/>
    <mergeCell ref="A27:B27"/>
    <mergeCell ref="A16:B16"/>
    <mergeCell ref="D3:E3"/>
    <mergeCell ref="A3:B3"/>
    <mergeCell ref="A9:B9"/>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FF68D-F9BD-4D13-B54B-BAE16D2C2809}">
  <dimension ref="A1:N42"/>
  <sheetViews>
    <sheetView topLeftCell="A30" zoomScale="98" workbookViewId="0">
      <selection activeCell="B22" sqref="B22"/>
    </sheetView>
  </sheetViews>
  <sheetFormatPr defaultRowHeight="14.5"/>
  <cols>
    <col min="1" max="1" width="33.54296875" bestFit="1" customWidth="1"/>
    <col min="2" max="2" width="15.36328125" bestFit="1" customWidth="1"/>
    <col min="3" max="3" width="15.90625" customWidth="1"/>
    <col min="4" max="4" width="23.1796875" bestFit="1" customWidth="1"/>
    <col min="5" max="5" width="15.36328125" bestFit="1" customWidth="1"/>
    <col min="6" max="6" width="10.81640625" customWidth="1"/>
  </cols>
  <sheetData>
    <row r="1" spans="1:14">
      <c r="A1" s="126" t="s">
        <v>64</v>
      </c>
      <c r="B1" s="126"/>
      <c r="C1" s="126"/>
      <c r="D1" s="126"/>
      <c r="E1" s="126"/>
      <c r="F1" s="126"/>
    </row>
    <row r="3" spans="1:14">
      <c r="A3" s="126" t="s">
        <v>75</v>
      </c>
      <c r="B3" s="126"/>
      <c r="C3" s="126"/>
      <c r="D3" s="126"/>
      <c r="E3" s="126"/>
      <c r="F3" s="126"/>
      <c r="H3" s="13"/>
      <c r="I3" s="13"/>
      <c r="J3" s="13"/>
      <c r="K3" s="13"/>
      <c r="L3" s="13"/>
      <c r="M3" s="13"/>
      <c r="N3" s="13"/>
    </row>
    <row r="4" spans="1:14">
      <c r="B4" s="30" t="s">
        <v>28</v>
      </c>
      <c r="C4" s="30" t="s">
        <v>29</v>
      </c>
      <c r="D4" s="30" t="s">
        <v>30</v>
      </c>
      <c r="E4" s="30" t="s">
        <v>31</v>
      </c>
      <c r="F4" s="30" t="s">
        <v>32</v>
      </c>
      <c r="H4" s="4"/>
      <c r="I4" s="14"/>
      <c r="J4" s="4"/>
      <c r="K4" s="4"/>
      <c r="L4" s="4"/>
      <c r="M4" s="4"/>
      <c r="N4" s="4"/>
    </row>
    <row r="5" spans="1:14">
      <c r="A5" s="70" t="s">
        <v>36</v>
      </c>
      <c r="B5" s="89">
        <f xml:space="preserve"> Forecast!B17</f>
        <v>13583.804614000001</v>
      </c>
      <c r="C5" s="89">
        <f xml:space="preserve"> Forecast!C17</f>
        <v>14584.540770182502</v>
      </c>
      <c r="D5" s="89">
        <f xml:space="preserve"> Forecast!D17</f>
        <v>15584.275104042299</v>
      </c>
      <c r="E5" s="89">
        <f xml:space="preserve"> Forecast!E17</f>
        <v>16419.268778264624</v>
      </c>
      <c r="F5" s="89">
        <f xml:space="preserve"> Forecast!F17</f>
        <v>17216.762273287855</v>
      </c>
      <c r="H5" s="4"/>
      <c r="I5" s="4"/>
      <c r="J5" s="14"/>
      <c r="K5" s="14"/>
      <c r="L5" s="14"/>
      <c r="M5" s="14"/>
      <c r="N5" s="14"/>
    </row>
    <row r="6" spans="1:14">
      <c r="A6" t="s">
        <v>65</v>
      </c>
      <c r="B6">
        <v>1</v>
      </c>
      <c r="C6">
        <v>2</v>
      </c>
      <c r="D6">
        <v>3</v>
      </c>
      <c r="E6">
        <v>4</v>
      </c>
      <c r="F6">
        <v>5</v>
      </c>
      <c r="H6" s="4"/>
      <c r="I6" s="4"/>
      <c r="J6" s="15"/>
      <c r="K6" s="15"/>
      <c r="L6" s="15"/>
      <c r="M6" s="15"/>
      <c r="N6" s="15"/>
    </row>
    <row r="7" spans="1:14">
      <c r="A7" t="s">
        <v>66</v>
      </c>
      <c r="B7" s="19">
        <f>1/(1+$B$12)^B6</f>
        <v>0.92733227891517955</v>
      </c>
      <c r="C7" s="19">
        <f>1/(1+$B$12)^C6</f>
        <v>0.85994515551802031</v>
      </c>
      <c r="D7" s="19">
        <f>1/(1+$B$12)^D6</f>
        <v>0.79745490080859427</v>
      </c>
      <c r="E7" s="19">
        <f>1/(1+$B$12)^E6</f>
        <v>0.73950567049891225</v>
      </c>
      <c r="F7" s="19">
        <f>1/(1+$B$12)^F6</f>
        <v>0.68576747869445409</v>
      </c>
      <c r="H7" s="4"/>
      <c r="I7" s="4"/>
      <c r="J7" s="4"/>
      <c r="K7" s="4"/>
      <c r="L7" s="4"/>
      <c r="M7" s="4"/>
      <c r="N7" s="4"/>
    </row>
    <row r="8" spans="1:14">
      <c r="A8" t="s">
        <v>67</v>
      </c>
      <c r="B8" s="18">
        <f>B5*B7</f>
        <v>12596.700489039151</v>
      </c>
      <c r="C8" s="18">
        <f>C5*C7</f>
        <v>12541.9051807735</v>
      </c>
      <c r="D8" s="18">
        <f>D5*D7</f>
        <v>12427.756557267896</v>
      </c>
      <c r="E8" s="18">
        <f>E5*E7</f>
        <v>12142.142366972437</v>
      </c>
      <c r="F8" s="18">
        <f>F5*F7</f>
        <v>11806.695655434411</v>
      </c>
      <c r="H8" s="4"/>
      <c r="I8" s="4"/>
      <c r="J8" s="4"/>
      <c r="K8" s="4"/>
      <c r="L8" s="4"/>
      <c r="M8" s="4"/>
      <c r="N8" s="4"/>
    </row>
    <row r="9" spans="1:14">
      <c r="A9" s="70" t="s">
        <v>68</v>
      </c>
      <c r="B9" s="83">
        <f>SUM(B8:F8)</f>
        <v>61515.200249487389</v>
      </c>
      <c r="H9" s="4"/>
      <c r="I9" s="4"/>
      <c r="J9" s="15"/>
      <c r="K9" s="15"/>
      <c r="L9" s="15"/>
      <c r="M9" s="15"/>
      <c r="N9" s="15"/>
    </row>
    <row r="10" spans="1:14">
      <c r="H10" s="4"/>
      <c r="I10" s="14"/>
      <c r="J10" s="16"/>
      <c r="K10" s="4"/>
      <c r="L10" s="4"/>
      <c r="M10" s="4"/>
      <c r="N10" s="4"/>
    </row>
    <row r="11" spans="1:14">
      <c r="A11" s="127" t="s">
        <v>76</v>
      </c>
      <c r="B11" s="127"/>
      <c r="D11" s="1"/>
      <c r="E11" s="1"/>
      <c r="F11" s="2"/>
    </row>
    <row r="12" spans="1:14">
      <c r="A12" t="s">
        <v>58</v>
      </c>
      <c r="B12" s="64">
        <f>WACC!B32</f>
        <v>7.8362117589424671E-2</v>
      </c>
      <c r="D12" s="3"/>
      <c r="E12" s="10"/>
      <c r="F12" s="7"/>
    </row>
    <row r="13" spans="1:14">
      <c r="A13" t="s">
        <v>69</v>
      </c>
      <c r="B13" s="35">
        <v>2.5000000000000001E-2</v>
      </c>
      <c r="D13" s="3"/>
      <c r="E13" s="3"/>
      <c r="F13" s="20"/>
    </row>
    <row r="14" spans="1:14">
      <c r="D14" s="3"/>
      <c r="E14" s="3"/>
      <c r="F14" s="20"/>
    </row>
    <row r="15" spans="1:14">
      <c r="A15" s="126" t="s">
        <v>70</v>
      </c>
      <c r="B15" s="126"/>
    </row>
    <row r="16" spans="1:14">
      <c r="A16" t="s">
        <v>70</v>
      </c>
      <c r="B16" s="11">
        <f>F5*(1+B13)/(B12-B13)</f>
        <v>330706.16623387852</v>
      </c>
    </row>
    <row r="17" spans="1:2">
      <c r="A17" t="s">
        <v>71</v>
      </c>
      <c r="B17" s="67">
        <f>B16/(1+B12)^F6</f>
        <v>226787.53380691589</v>
      </c>
    </row>
    <row r="18" spans="1:2">
      <c r="A18" t="s">
        <v>84</v>
      </c>
      <c r="B18" s="17">
        <f>B17/B33</f>
        <v>0.78662984084829179</v>
      </c>
    </row>
    <row r="20" spans="1:2">
      <c r="A20" s="126" t="s">
        <v>150</v>
      </c>
      <c r="B20" s="126"/>
    </row>
    <row r="21" spans="1:2">
      <c r="A21" t="s">
        <v>110</v>
      </c>
      <c r="B21" s="91">
        <f>Forecast!F11</f>
        <v>26723.077740548593</v>
      </c>
    </row>
    <row r="22" spans="1:2">
      <c r="A22" t="s">
        <v>111</v>
      </c>
      <c r="B22" s="94">
        <v>12</v>
      </c>
    </row>
    <row r="23" spans="1:2">
      <c r="A23" t="s">
        <v>112</v>
      </c>
      <c r="B23" s="92">
        <f>B21*B22</f>
        <v>320676.93288658315</v>
      </c>
    </row>
    <row r="24" spans="1:2">
      <c r="A24" t="s">
        <v>113</v>
      </c>
      <c r="B24" s="12">
        <f>B23/(1+B12)^F6</f>
        <v>219909.81174110281</v>
      </c>
    </row>
    <row r="26" spans="1:2">
      <c r="A26" s="126" t="s">
        <v>114</v>
      </c>
      <c r="B26" s="126"/>
    </row>
    <row r="27" spans="1:2">
      <c r="A27" t="s">
        <v>117</v>
      </c>
      <c r="B27" s="12">
        <f>B17</f>
        <v>226787.53380691589</v>
      </c>
    </row>
    <row r="28" spans="1:2">
      <c r="A28" t="s">
        <v>113</v>
      </c>
      <c r="B28" s="12">
        <f>B24</f>
        <v>219909.81174110281</v>
      </c>
    </row>
    <row r="29" spans="1:2">
      <c r="A29" t="s">
        <v>115</v>
      </c>
      <c r="B29" s="12">
        <f>B28-B27</f>
        <v>-6877.7220658130827</v>
      </c>
    </row>
    <row r="30" spans="1:2">
      <c r="A30" t="s">
        <v>116</v>
      </c>
      <c r="B30" s="93">
        <f>B28/B27</f>
        <v>0.96967327987406626</v>
      </c>
    </row>
    <row r="31" spans="1:2">
      <c r="B31" s="90"/>
    </row>
    <row r="32" spans="1:2">
      <c r="A32" s="126" t="s">
        <v>77</v>
      </c>
      <c r="B32" s="126"/>
    </row>
    <row r="33" spans="1:2">
      <c r="A33" s="70" t="s">
        <v>72</v>
      </c>
      <c r="B33" s="83">
        <f>B9+B17</f>
        <v>288302.73405640328</v>
      </c>
    </row>
    <row r="34" spans="1:2">
      <c r="A34" t="s">
        <v>129</v>
      </c>
      <c r="B34" s="65">
        <f>WACC!B22-'Historical Financials'!D12</f>
        <v>23911</v>
      </c>
    </row>
    <row r="35" spans="1:2">
      <c r="A35" s="70" t="s">
        <v>73</v>
      </c>
      <c r="B35" s="124">
        <f>B33-B42</f>
        <v>263841.73405640328</v>
      </c>
    </row>
    <row r="36" spans="1:2">
      <c r="A36" t="s">
        <v>60</v>
      </c>
      <c r="B36" s="66">
        <f>WACC!B18</f>
        <v>1550907927</v>
      </c>
    </row>
    <row r="37" spans="1:2">
      <c r="A37" s="70" t="s">
        <v>108</v>
      </c>
      <c r="B37" s="82">
        <f>(B35*1000000/B36)/WACC!B20</f>
        <v>126.47448050020741</v>
      </c>
    </row>
    <row r="38" spans="1:2">
      <c r="A38" s="70" t="s">
        <v>92</v>
      </c>
      <c r="B38" s="82">
        <f>WACC!B17</f>
        <v>137.9</v>
      </c>
    </row>
    <row r="39" spans="1:2">
      <c r="A39" t="s">
        <v>74</v>
      </c>
      <c r="B39" s="68">
        <f>B37/B38-1</f>
        <v>-8.2853658446646827E-2</v>
      </c>
    </row>
    <row r="41" spans="1:2">
      <c r="A41" s="109" t="s">
        <v>146</v>
      </c>
      <c r="B41" s="125">
        <v>550</v>
      </c>
    </row>
    <row r="42" spans="1:2">
      <c r="A42" s="109" t="s">
        <v>147</v>
      </c>
      <c r="B42" s="124">
        <f>B34+B41</f>
        <v>24461</v>
      </c>
    </row>
  </sheetData>
  <mergeCells count="7">
    <mergeCell ref="A1:F1"/>
    <mergeCell ref="A20:B20"/>
    <mergeCell ref="A26:B26"/>
    <mergeCell ref="A32:B32"/>
    <mergeCell ref="A3:F3"/>
    <mergeCell ref="A11:B11"/>
    <mergeCell ref="A15:B15"/>
  </mergeCells>
  <phoneticPr fontId="3"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C8D0B-B394-4F5B-8375-0831661C3942}">
  <dimension ref="A1:K18"/>
  <sheetViews>
    <sheetView topLeftCell="A4" workbookViewId="0">
      <selection activeCell="A12" sqref="A12:F12"/>
    </sheetView>
  </sheetViews>
  <sheetFormatPr defaultRowHeight="14.5"/>
  <cols>
    <col min="1" max="1" width="22.36328125" bestFit="1" customWidth="1"/>
    <col min="2" max="2" width="13" bestFit="1" customWidth="1"/>
    <col min="3" max="5" width="8.81640625" bestFit="1" customWidth="1"/>
    <col min="6" max="6" width="8.90625" bestFit="1" customWidth="1"/>
  </cols>
  <sheetData>
    <row r="1" spans="1:11">
      <c r="A1" s="126" t="s">
        <v>81</v>
      </c>
      <c r="B1" s="126"/>
      <c r="C1" s="126"/>
      <c r="D1" s="126"/>
      <c r="E1" s="126"/>
      <c r="F1" s="126"/>
    </row>
    <row r="3" spans="1:11">
      <c r="A3" s="135" t="s">
        <v>82</v>
      </c>
      <c r="B3" s="135"/>
      <c r="C3" s="135"/>
      <c r="D3" s="135"/>
      <c r="E3" s="135"/>
      <c r="F3" s="135"/>
    </row>
    <row r="4" spans="1:11">
      <c r="A4" s="27" t="s">
        <v>83</v>
      </c>
      <c r="B4" s="26">
        <v>1.4999999999999999E-2</v>
      </c>
      <c r="C4" s="26">
        <v>0.02</v>
      </c>
      <c r="D4" s="26">
        <v>2.5000000000000001E-2</v>
      </c>
      <c r="E4" s="26">
        <v>0.03</v>
      </c>
      <c r="F4" s="26">
        <v>3.5000000000000003E-2</v>
      </c>
      <c r="G4" s="24"/>
      <c r="H4" s="17"/>
      <c r="I4" s="24"/>
      <c r="J4" s="17"/>
      <c r="K4" s="24"/>
    </row>
    <row r="5" spans="1:11">
      <c r="A5" s="84">
        <v>0.06</v>
      </c>
      <c r="B5" s="25">
        <f>((DCF!$B$5/(1+$A5)^DCF!$B$6)+(DCF!$C$5/(1+$A5)^DCF!$C$6)+(DCF!$D$5/(1+$A5)^DCF!$D$6)+(DCF!$E$5/(1+$A5)^DCF!$E$6)+(DCF!$F$5/(1+$A5)^DCF!$F$6)+((DCF!$F$5*(1+B$4)/($A5-B$4))/(1+$A5)^DCF!$F$6)-DCF!$B$42)*1000000/DCF!$B$36/WACC!$B$20</f>
        <v>158.41582295339899</v>
      </c>
      <c r="C5" s="25">
        <f>((DCF!$B$5/(1+$A5)^DCF!$B$6)+(DCF!$C$5/(1+$A5)^DCF!$C$6)+(DCF!$D$5/(1+$A5)^DCF!$D$6)+(DCF!$E$5/(1+$A5)^DCF!$E$6)+(DCF!$F$5/(1+$A5)^DCF!$F$6)+((DCF!$F$5*(1+C$4)/($A5-C$4))/(1+$A5)^DCF!$F$6)-DCF!$B$42)*1000000/DCF!$B$36/WACC!$B$20</f>
        <v>176.57453043162019</v>
      </c>
      <c r="D5" s="25">
        <f>((DCF!$B$5/(1+$A5)^DCF!$B$6)+(DCF!$C$5/(1+$A5)^DCF!$C$6)+(DCF!$D$5/(1+$A5)^DCF!$D$6)+(DCF!$E$5/(1+$A5)^DCF!$E$6)+(DCF!$F$5/(1+$A5)^DCF!$F$6)+((DCF!$F$5*(1+D$4)/($A5-D$4))/(1+$A5)^DCF!$F$6)-DCF!$B$42)*1000000/DCF!$B$36/WACC!$B$20</f>
        <v>199.92144004647591</v>
      </c>
      <c r="E5" s="25">
        <f>((DCF!$B$5/(1+$A5)^DCF!$B$6)+(DCF!$C$5/(1+$A5)^DCF!$C$6)+(DCF!$D$5/(1+$A5)^DCF!$D$6)+(DCF!$E$5/(1+$A5)^DCF!$E$6)+(DCF!$F$5/(1+$A5)^DCF!$F$6)+((DCF!$F$5*(1+E$4)/($A5-E$4))/(1+$A5)^DCF!$F$6)-DCF!$B$42)*1000000/DCF!$B$36/WACC!$B$20</f>
        <v>231.05065286628363</v>
      </c>
      <c r="F5" s="25">
        <f>((DCF!$B$5/(1+$A5)^DCF!$B$6)+(DCF!$C$5/(1+$A5)^DCF!$C$6)+(DCF!$D$5/(1+$A5)^DCF!$D$6)+(DCF!$E$5/(1+$A5)^DCF!$E$6)+(DCF!$F$5/(1+$A5)^DCF!$F$6)+((DCF!$F$5*(1+F$4)/($A5-F$4))/(1+$A5)^DCF!$F$6)-DCF!$B$42)*1000000/DCF!$B$36/WACC!$B$20</f>
        <v>274.63155081401436</v>
      </c>
    </row>
    <row r="6" spans="1:11">
      <c r="A6" s="84">
        <v>7.0000000000000007E-2</v>
      </c>
      <c r="B6" s="25">
        <f>((DCF!$B$5/(1+$A6)^DCF!$B$6)+(DCF!$C$5/(1+$A6)^DCF!$C$6)+(DCF!$D$5/(1+$A6)^DCF!$D$6)+(DCF!$E$5/(1+$A6)^DCF!$E$6)+(DCF!$F$5/(1+$A6)^DCF!$F$6)+((DCF!$F$5*(1+B$4)/($A6-B$4))/(1+$A6)^DCF!$F$6)-DCF!$B$42)*1000000/DCF!$B$36/WACC!$B$20</f>
        <v>127.04460464803248</v>
      </c>
      <c r="C6" s="25">
        <f>((DCF!$B$5/(1+$A6)^DCF!$B$6)+(DCF!$C$5/(1+$A6)^DCF!$C$6)+(DCF!$D$5/(1+$A6)^DCF!$D$6)+(DCF!$E$5/(1+$A6)^DCF!$E$6)+(DCF!$F$5/(1+$A6)^DCF!$F$6)+((DCF!$F$5*(1+C$4)/($A6-C$4))/(1+$A6)^DCF!$F$6)-DCF!$B$42)*1000000/DCF!$B$36/WACC!$B$20</f>
        <v>138.49216901531437</v>
      </c>
      <c r="D6" s="25">
        <f>((DCF!$B$5/(1+$A6)^DCF!$B$6)+(DCF!$C$5/(1+$A6)^DCF!$C$6)+(DCF!$D$5/(1+$A6)^DCF!$D$6)+(DCF!$E$5/(1+$A6)^DCF!$E$6)+(DCF!$F$5/(1+$A6)^DCF!$F$6)+((DCF!$F$5*(1+D$4)/($A6-D$4))/(1+$A6)^DCF!$F$6)-DCF!$B$42)*1000000/DCF!$B$36/WACC!$B$20</f>
        <v>152.48363657532556</v>
      </c>
      <c r="E6" s="25">
        <f>((DCF!$B$5/(1+$A6)^DCF!$B$6)+(DCF!$C$5/(1+$A6)^DCF!$C$6)+(DCF!$D$5/(1+$A6)^DCF!$D$6)+(DCF!$E$5/(1+$A6)^DCF!$E$6)+(DCF!$F$5/(1+$A6)^DCF!$F$6)+((DCF!$F$5*(1+E$4)/($A6-E$4))/(1+$A6)^DCF!$F$6)-DCF!$B$42)*1000000/DCF!$B$36/WACC!$B$20</f>
        <v>169.97297102533958</v>
      </c>
      <c r="F6" s="25">
        <f>((DCF!$B$5/(1+$A6)^DCF!$B$6)+(DCF!$C$5/(1+$A6)^DCF!$C$6)+(DCF!$D$5/(1+$A6)^DCF!$D$6)+(DCF!$E$5/(1+$A6)^DCF!$E$6)+(DCF!$F$5/(1+$A6)^DCF!$F$6)+((DCF!$F$5*(1+F$4)/($A6-F$4))/(1+$A6)^DCF!$F$6)-DCF!$B$42)*1000000/DCF!$B$36/WACC!$B$20</f>
        <v>192.45925817535752</v>
      </c>
    </row>
    <row r="7" spans="1:11">
      <c r="A7" s="84">
        <v>0.08</v>
      </c>
      <c r="B7" s="25">
        <f>((DCF!$B$5/(1+$A7)^DCF!$B$6)+(DCF!$C$5/(1+$A7)^DCF!$C$6)+(DCF!$D$5/(1+$A7)^DCF!$D$6)+(DCF!$E$5/(1+$A7)^DCF!$E$6)+(DCF!$F$5/(1+$A7)^DCF!$F$6)+((DCF!$F$5*(1+B$4)/($A7-B$4))/(1+$A7)^DCF!$F$6)-DCF!$B$42)*1000000/DCF!$B$36/WACC!$B$20</f>
        <v>105.33887862300591</v>
      </c>
      <c r="C7" s="25">
        <f>((DCF!$B$5/(1+$A7)^DCF!$B$6)+(DCF!$C$5/(1+$A7)^DCF!$C$6)+(DCF!$D$5/(1+$A7)^DCF!$D$6)+(DCF!$E$5/(1+$A7)^DCF!$E$6)+(DCF!$F$5/(1+$A7)^DCF!$F$6)+((DCF!$F$5*(1+C$4)/($A7-C$4))/(1+$A7)^DCF!$F$6)-DCF!$B$42)*1000000/DCF!$B$36/WACC!$B$20</f>
        <v>113.11604284805965</v>
      </c>
      <c r="D7" s="25">
        <f>((DCF!$B$5/(1+$A7)^DCF!$B$6)+(DCF!$C$5/(1+$A7)^DCF!$C$6)+(DCF!$D$5/(1+$A7)^DCF!$D$6)+(DCF!$E$5/(1+$A7)^DCF!$E$6)+(DCF!$F$5/(1+$A7)^DCF!$F$6)+((DCF!$F$5*(1+D$4)/($A7-D$4))/(1+$A7)^DCF!$F$6)-DCF!$B$42)*1000000/DCF!$B$36/WACC!$B$20</f>
        <v>122.30723693221407</v>
      </c>
      <c r="E7" s="25">
        <f>((DCF!$B$5/(1+$A7)^DCF!$B$6)+(DCF!$C$5/(1+$A7)^DCF!$C$6)+(DCF!$D$5/(1+$A7)^DCF!$D$6)+(DCF!$E$5/(1+$A7)^DCF!$E$6)+(DCF!$F$5/(1+$A7)^DCF!$F$6)+((DCF!$F$5*(1+E$4)/($A7-E$4))/(1+$A7)^DCF!$F$6)-DCF!$B$42)*1000000/DCF!$B$36/WACC!$B$20</f>
        <v>133.33666983319938</v>
      </c>
      <c r="F7" s="25">
        <f>((DCF!$B$5/(1+$A7)^DCF!$B$6)+(DCF!$C$5/(1+$A7)^DCF!$C$6)+(DCF!$D$5/(1+$A7)^DCF!$D$6)+(DCF!$E$5/(1+$A7)^DCF!$E$6)+(DCF!$F$5/(1+$A7)^DCF!$F$6)+((DCF!$F$5*(1+F$4)/($A7-F$4))/(1+$A7)^DCF!$F$6)-DCF!$B$42)*1000000/DCF!$B$36/WACC!$B$20</f>
        <v>146.81708782329252</v>
      </c>
      <c r="I7" s="21"/>
    </row>
    <row r="8" spans="1:11">
      <c r="A8" s="84">
        <v>0.09</v>
      </c>
      <c r="B8" s="25">
        <f>((DCF!$B$5/(1+$A8)^DCF!$B$6)+(DCF!$C$5/(1+$A8)^DCF!$C$6)+(DCF!$D$5/(1+$A8)^DCF!$D$6)+(DCF!$E$5/(1+$A8)^DCF!$E$6)+(DCF!$F$5/(1+$A8)^DCF!$F$6)+((DCF!$F$5*(1+B$4)/($A8-B$4))/(1+$A8)^DCF!$F$6)-DCF!$B$42)*1000000/DCF!$B$36/WACC!$B$20</f>
        <v>89.431937165809032</v>
      </c>
      <c r="C8" s="25">
        <f>((DCF!$B$5/(1+$A8)^DCF!$B$6)+(DCF!$C$5/(1+$A8)^DCF!$C$6)+(DCF!$D$5/(1+$A8)^DCF!$D$6)+(DCF!$E$5/(1+$A8)^DCF!$E$6)+(DCF!$F$5/(1+$A8)^DCF!$F$6)+((DCF!$F$5*(1+C$4)/($A8-C$4))/(1+$A8)^DCF!$F$6)-DCF!$B$42)*1000000/DCF!$B$36/WACC!$B$20</f>
        <v>95.00014713532596</v>
      </c>
      <c r="D8" s="25">
        <f>((DCF!$B$5/(1+$A8)^DCF!$B$6)+(DCF!$C$5/(1+$A8)^DCF!$C$6)+(DCF!$D$5/(1+$A8)^DCF!$D$6)+(DCF!$E$5/(1+$A8)^DCF!$E$6)+(DCF!$F$5/(1+$A8)^DCF!$F$6)+((DCF!$F$5*(1+D$4)/($A8-D$4))/(1+$A8)^DCF!$F$6)-DCF!$B$42)*1000000/DCF!$B$36/WACC!$B$20</f>
        <v>101.42500479246085</v>
      </c>
      <c r="E8" s="25">
        <f>((DCF!$B$5/(1+$A8)^DCF!$B$6)+(DCF!$C$5/(1+$A8)^DCF!$C$6)+(DCF!$D$5/(1+$A8)^DCF!$D$6)+(DCF!$E$5/(1+$A8)^DCF!$E$6)+(DCF!$F$5/(1+$A8)^DCF!$F$6)+((DCF!$F$5*(1+E$4)/($A8-E$4))/(1+$A8)^DCF!$F$6)-DCF!$B$42)*1000000/DCF!$B$36/WACC!$B$20</f>
        <v>108.92067205911832</v>
      </c>
      <c r="F8" s="25">
        <f>((DCF!$B$5/(1+$A8)^DCF!$B$6)+(DCF!$C$5/(1+$A8)^DCF!$C$6)+(DCF!$D$5/(1+$A8)^DCF!$D$6)+(DCF!$E$5/(1+$A8)^DCF!$E$6)+(DCF!$F$5/(1+$A8)^DCF!$F$6)+((DCF!$F$5*(1+F$4)/($A8-F$4))/(1+$A8)^DCF!$F$6)-DCF!$B$42)*1000000/DCF!$B$36/WACC!$B$20</f>
        <v>117.77918791971342</v>
      </c>
    </row>
    <row r="9" spans="1:11">
      <c r="A9" s="84">
        <v>0.1</v>
      </c>
      <c r="B9" s="25">
        <f>((DCF!$B$5/(1+$A9)^DCF!$B$6)+(DCF!$C$5/(1+$A9)^DCF!$C$6)+(DCF!$D$5/(1+$A9)^DCF!$D$6)+(DCF!$E$5/(1+$A9)^DCF!$E$6)+(DCF!$F$5/(1+$A9)^DCF!$F$6)+((DCF!$F$5*(1+B$4)/($A9-B$4))/(1+$A9)^DCF!$F$6)-DCF!$B$42)*1000000/DCF!$B$36/WACC!$B$20</f>
        <v>77.276725039457475</v>
      </c>
      <c r="C9" s="25">
        <f>((DCF!$B$5/(1+$A9)^DCF!$B$6)+(DCF!$C$5/(1+$A9)^DCF!$C$6)+(DCF!$D$5/(1+$A9)^DCF!$D$6)+(DCF!$E$5/(1+$A9)^DCF!$E$6)+(DCF!$F$5/(1+$A9)^DCF!$F$6)+((DCF!$F$5*(1+C$4)/($A9-C$4))/(1+$A9)^DCF!$F$6)-DCF!$B$42)*1000000/DCF!$B$36/WACC!$B$20</f>
        <v>81.421502765418538</v>
      </c>
      <c r="D9" s="25">
        <f>((DCF!$B$5/(1+$A9)^DCF!$B$6)+(DCF!$C$5/(1+$A9)^DCF!$C$6)+(DCF!$D$5/(1+$A9)^DCF!$D$6)+(DCF!$E$5/(1+$A9)^DCF!$E$6)+(DCF!$F$5/(1+$A9)^DCF!$F$6)+((DCF!$F$5*(1+D$4)/($A9-D$4))/(1+$A9)^DCF!$F$6)-DCF!$B$42)*1000000/DCF!$B$36/WACC!$B$20</f>
        <v>86.118917521507683</v>
      </c>
      <c r="E9" s="25">
        <f>((DCF!$B$5/(1+$A9)^DCF!$B$6)+(DCF!$C$5/(1+$A9)^DCF!$C$6)+(DCF!$D$5/(1+$A9)^DCF!$D$6)+(DCF!$E$5/(1+$A9)^DCF!$E$6)+(DCF!$F$5/(1+$A9)^DCF!$F$6)+((DCF!$F$5*(1+E$4)/($A9-E$4))/(1+$A9)^DCF!$F$6)-DCF!$B$42)*1000000/DCF!$B$36/WACC!$B$20</f>
        <v>91.487391528466787</v>
      </c>
      <c r="F9" s="25">
        <f>((DCF!$B$5/(1+$A9)^DCF!$B$6)+(DCF!$C$5/(1+$A9)^DCF!$C$6)+(DCF!$D$5/(1+$A9)^DCF!$D$6)+(DCF!$E$5/(1+$A9)^DCF!$E$6)+(DCF!$F$5/(1+$A9)^DCF!$F$6)+((DCF!$F$5*(1+F$4)/($A9-F$4))/(1+$A9)^DCF!$F$6)-DCF!$B$42)*1000000/DCF!$B$36/WACC!$B$20</f>
        <v>97.681784613419538</v>
      </c>
    </row>
    <row r="10" spans="1:11">
      <c r="A10" s="23"/>
      <c r="E10" s="22"/>
      <c r="F10" s="23"/>
    </row>
    <row r="11" spans="1:11">
      <c r="A11" s="23"/>
      <c r="E11" s="22"/>
      <c r="F11" s="23"/>
    </row>
    <row r="12" spans="1:11">
      <c r="A12" s="136" t="s">
        <v>137</v>
      </c>
      <c r="B12" s="136"/>
      <c r="C12" s="136"/>
      <c r="D12" s="136"/>
      <c r="E12" s="136"/>
      <c r="F12" s="136"/>
    </row>
    <row r="13" spans="1:11" ht="16.5" customHeight="1">
      <c r="A13" s="114" t="s">
        <v>138</v>
      </c>
      <c r="B13" s="115">
        <v>0.23</v>
      </c>
      <c r="C13" s="115">
        <v>0.23499999999999999</v>
      </c>
      <c r="D13" s="115">
        <v>0.24</v>
      </c>
      <c r="E13" s="115">
        <v>0.245</v>
      </c>
      <c r="F13" s="115">
        <v>0.25</v>
      </c>
    </row>
    <row r="14" spans="1:11">
      <c r="A14" s="84">
        <v>0.06</v>
      </c>
      <c r="B14" s="76">
        <f>(((Forecast!$B$17/(1+$A14)^DCF!$B$6)+(Forecast!$C$17/(1+$A14)^DCF!$C$6)+(Forecast!$D$17/(1+$A14)^DCF!$D$6)+(Forecast!$E$17/(1+$A14)^DCF!$E$6)+((Forecast!$F$3*B$13*(1-Forecast!$F$7)+Forecast!$F$9-Forecast!$F$13-Forecast!$F$16)/(1+$A14)^DCF!$F$6)+(((Forecast!$F$3*B$13*(1-Forecast!$F$7)+Forecast!$F$9-Forecast!$F$13-Forecast!$F$16)*(1+DCF!$B$13)/($A14-DCF!$B$13))/(1+$A14)^DCF!$F$6)-DCF!$B$42)*1000000/DCF!$B$36/WACC!$B$20)</f>
        <v>189.43373232501636</v>
      </c>
      <c r="C14" s="76">
        <f>(((Forecast!$B$17/(1+$A14)^DCF!$B$6)+(Forecast!$C$17/(1+$A14)^DCF!$C$6)+(Forecast!$D$17/(1+$A14)^DCF!$D$6)+(Forecast!$E$17/(1+$A14)^DCF!$E$6)+((Forecast!$F$3*C$13*(1-Forecast!$F$7)+Forecast!$F$9-Forecast!$F$13-Forecast!$F$16)/(1+$A14)^DCF!$F$6)+(((Forecast!$F$3*C$13*(1-Forecast!$F$7)+Forecast!$F$9-Forecast!$F$13-Forecast!$F$16)*(1+DCF!$B$13)/($A14-DCF!$B$13))/(1+$A14)^DCF!$F$6)-DCF!$B$42)*1000000/DCF!$B$36/WACC!$B$20)</f>
        <v>192.92963489883621</v>
      </c>
      <c r="D14" s="76">
        <f>(((Forecast!$B$17/(1+$A14)^DCF!$B$6)+(Forecast!$C$17/(1+$A14)^DCF!$C$6)+(Forecast!$D$17/(1+$A14)^DCF!$D$6)+(Forecast!$E$17/(1+$A14)^DCF!$E$6)+((Forecast!$F$3*D$13*(1-Forecast!$F$7)+Forecast!$F$9-Forecast!$F$13-Forecast!$F$16)/(1+$A14)^DCF!$F$6)+(((Forecast!$F$3*D$13*(1-Forecast!$F$7)+Forecast!$F$9-Forecast!$F$13-Forecast!$F$16)*(1+DCF!$B$13)/($A14-DCF!$B$13))/(1+$A14)^DCF!$F$6)-DCF!$B$42)*1000000/DCF!$B$36/WACC!$B$20)</f>
        <v>196.42553747265603</v>
      </c>
      <c r="E14" s="76">
        <f>(((Forecast!$B$17/(1+$A14)^DCF!$B$6)+(Forecast!$C$17/(1+$A14)^DCF!$C$6)+(Forecast!$D$17/(1+$A14)^DCF!$D$6)+(Forecast!$E$17/(1+$A14)^DCF!$E$6)+((Forecast!$F$3*E$13*(1-Forecast!$F$7)+Forecast!$F$9-Forecast!$F$13-Forecast!$F$16)/(1+$A14)^DCF!$F$6)+(((Forecast!$F$3*E$13*(1-Forecast!$F$7)+Forecast!$F$9-Forecast!$F$13-Forecast!$F$16)*(1+DCF!$B$13)/($A14-DCF!$B$13))/(1+$A14)^DCF!$F$6)-DCF!$B$42)*1000000/DCF!$B$36/WACC!$B$20)</f>
        <v>199.92144004647591</v>
      </c>
      <c r="F14" s="76">
        <f>(((Forecast!$B$17/(1+$A14)^DCF!$B$6)+(Forecast!$C$17/(1+$A14)^DCF!$C$6)+(Forecast!$D$17/(1+$A14)^DCF!$D$6)+(Forecast!$E$17/(1+$A14)^DCF!$E$6)+((Forecast!$F$3*F$13*(1-Forecast!$F$7)+Forecast!$F$9-Forecast!$F$13-Forecast!$F$16)/(1+$A14)^DCF!$F$6)+(((Forecast!$F$3*F$13*(1-Forecast!$F$7)+Forecast!$F$9-Forecast!$F$13-Forecast!$F$16)*(1+DCF!$B$13)/($A14-DCF!$B$13))/(1+$A14)^DCF!$F$6)-DCF!$B$42)*1000000/DCF!$B$36/WACC!$B$20)</f>
        <v>203.41734262029576</v>
      </c>
    </row>
    <row r="15" spans="1:11">
      <c r="A15" s="85">
        <v>7.0000000000000007E-2</v>
      </c>
      <c r="B15" s="76">
        <f>(((Forecast!$B$17/(1+$A15)^DCF!$B$6)+(Forecast!$C$17/(1+$A15)^DCF!$C$6)+(Forecast!$D$17/(1+$A15)^DCF!$D$6)+(Forecast!$E$17/(1+$A15)^DCF!$E$6)+((Forecast!$F$3*B$13*(1-Forecast!$F$7)+Forecast!$F$9-Forecast!$F$13-Forecast!$F$16)/(1+$A15)^DCF!$F$6)+(((Forecast!$F$3*B$13*(1-Forecast!$F$7)+Forecast!$F$9-Forecast!$F$13-Forecast!$F$16)*(1+DCF!$B$13)/($A15-DCF!$B$13))/(1+$A15)^DCF!$F$6)-DCF!$B$42)*1000000/DCF!$B$36/WACC!$B$20)</f>
        <v>144.62722084491608</v>
      </c>
      <c r="C15" s="76">
        <f>(((Forecast!$B$17/(1+$A15)^DCF!$B$6)+(Forecast!$C$17/(1+$A15)^DCF!$C$6)+(Forecast!$D$17/(1+$A15)^DCF!$D$6)+(Forecast!$E$17/(1+$A15)^DCF!$E$6)+((Forecast!$F$3*C$13*(1-Forecast!$F$7)+Forecast!$F$9-Forecast!$F$13-Forecast!$F$16)/(1+$A15)^DCF!$F$6)+(((Forecast!$F$3*C$13*(1-Forecast!$F$7)+Forecast!$F$9-Forecast!$F$13-Forecast!$F$16)*(1+DCF!$B$13)/($A15-DCF!$B$13))/(1+$A15)^DCF!$F$6)-DCF!$B$42)*1000000/DCF!$B$36/WACC!$B$20)</f>
        <v>147.24602608838595</v>
      </c>
      <c r="D15" s="76">
        <f>(((Forecast!$B$17/(1+$A15)^DCF!$B$6)+(Forecast!$C$17/(1+$A15)^DCF!$C$6)+(Forecast!$D$17/(1+$A15)^DCF!$D$6)+(Forecast!$E$17/(1+$A15)^DCF!$E$6)+((Forecast!$F$3*D$13*(1-Forecast!$F$7)+Forecast!$F$9-Forecast!$F$13-Forecast!$F$16)/(1+$A15)^DCF!$F$6)+(((Forecast!$F$3*D$13*(1-Forecast!$F$7)+Forecast!$F$9-Forecast!$F$13-Forecast!$F$16)*(1+DCF!$B$13)/($A15-DCF!$B$13))/(1+$A15)^DCF!$F$6)-DCF!$B$42)*1000000/DCF!$B$36/WACC!$B$20)</f>
        <v>149.86483133185573</v>
      </c>
      <c r="E15" s="76">
        <f>(((Forecast!$B$17/(1+$A15)^DCF!$B$6)+(Forecast!$C$17/(1+$A15)^DCF!$C$6)+(Forecast!$D$17/(1+$A15)^DCF!$D$6)+(Forecast!$E$17/(1+$A15)^DCF!$E$6)+((Forecast!$F$3*E$13*(1-Forecast!$F$7)+Forecast!$F$9-Forecast!$F$13-Forecast!$F$16)/(1+$A15)^DCF!$F$6)+(((Forecast!$F$3*E$13*(1-Forecast!$F$7)+Forecast!$F$9-Forecast!$F$13-Forecast!$F$16)*(1+DCF!$B$13)/($A15-DCF!$B$13))/(1+$A15)^DCF!$F$6)-DCF!$B$42)*1000000/DCF!$B$36/WACC!$B$20)</f>
        <v>152.48363657532556</v>
      </c>
      <c r="F15" s="76">
        <f>(((Forecast!$B$17/(1+$A15)^DCF!$B$6)+(Forecast!$C$17/(1+$A15)^DCF!$C$6)+(Forecast!$D$17/(1+$A15)^DCF!$D$6)+(Forecast!$E$17/(1+$A15)^DCF!$E$6)+((Forecast!$F$3*F$13*(1-Forecast!$F$7)+Forecast!$F$9-Forecast!$F$13-Forecast!$F$16)/(1+$A15)^DCF!$F$6)+(((Forecast!$F$3*F$13*(1-Forecast!$F$7)+Forecast!$F$9-Forecast!$F$13-Forecast!$F$16)*(1+DCF!$B$13)/($A15-DCF!$B$13))/(1+$A15)^DCF!$F$6)-DCF!$B$42)*1000000/DCF!$B$36/WACC!$B$20)</f>
        <v>155.1024418187954</v>
      </c>
    </row>
    <row r="16" spans="1:11">
      <c r="A16" s="84">
        <v>0.08</v>
      </c>
      <c r="B16" s="76">
        <f>(((Forecast!$B$17/(1+$A16)^DCF!$B$6)+(Forecast!$C$17/(1+$A16)^DCF!$C$6)+(Forecast!$D$17/(1+$A16)^DCF!$D$6)+(Forecast!$E$17/(1+$A16)^DCF!$E$6)+((Forecast!$F$3*B$13*(1-Forecast!$F$7)+Forecast!$F$9-Forecast!$F$13-Forecast!$F$16)/(1+$A16)^DCF!$F$6)+(((Forecast!$F$3*B$13*(1-Forecast!$F$7)+Forecast!$F$9-Forecast!$F$13-Forecast!$F$16)*(1+DCF!$B$13)/($A16-DCF!$B$13))/(1+$A16)^DCF!$F$6)-DCF!$B$42)*1000000/DCF!$B$36/WACC!$B$20)</f>
        <v>116.11404742088254</v>
      </c>
      <c r="C16" s="76">
        <f>(((Forecast!$B$17/(1+$A16)^DCF!$B$6)+(Forecast!$C$17/(1+$A16)^DCF!$C$6)+(Forecast!$D$17/(1+$A16)^DCF!$D$6)+(Forecast!$E$17/(1+$A16)^DCF!$E$6)+((Forecast!$F$3*C$13*(1-Forecast!$F$7)+Forecast!$F$9-Forecast!$F$13-Forecast!$F$16)/(1+$A16)^DCF!$F$6)+(((Forecast!$F$3*C$13*(1-Forecast!$F$7)+Forecast!$F$9-Forecast!$F$13-Forecast!$F$16)*(1+DCF!$B$13)/($A16-DCF!$B$13))/(1+$A16)^DCF!$F$6)-DCF!$B$42)*1000000/DCF!$B$36/WACC!$B$20)</f>
        <v>118.1784439246597</v>
      </c>
      <c r="D16" s="76">
        <f>(((Forecast!$B$17/(1+$A16)^DCF!$B$6)+(Forecast!$C$17/(1+$A16)^DCF!$C$6)+(Forecast!$D$17/(1+$A16)^DCF!$D$6)+(Forecast!$E$17/(1+$A16)^DCF!$E$6)+((Forecast!$F$3*D$13*(1-Forecast!$F$7)+Forecast!$F$9-Forecast!$F$13-Forecast!$F$16)/(1+$A16)^DCF!$F$6)+(((Forecast!$F$3*D$13*(1-Forecast!$F$7)+Forecast!$F$9-Forecast!$F$13-Forecast!$F$16)*(1+DCF!$B$13)/($A16-DCF!$B$13))/(1+$A16)^DCF!$F$6)-DCF!$B$42)*1000000/DCF!$B$36/WACC!$B$20)</f>
        <v>120.24284042843691</v>
      </c>
      <c r="E16" s="76">
        <f>(((Forecast!$B$17/(1+$A16)^DCF!$B$6)+(Forecast!$C$17/(1+$A16)^DCF!$C$6)+(Forecast!$D$17/(1+$A16)^DCF!$D$6)+(Forecast!$E$17/(1+$A16)^DCF!$E$6)+((Forecast!$F$3*E$13*(1-Forecast!$F$7)+Forecast!$F$9-Forecast!$F$13-Forecast!$F$16)/(1+$A16)^DCF!$F$6)+(((Forecast!$F$3*E$13*(1-Forecast!$F$7)+Forecast!$F$9-Forecast!$F$13-Forecast!$F$16)*(1+DCF!$B$13)/($A16-DCF!$B$13))/(1+$A16)^DCF!$F$6)-DCF!$B$42)*1000000/DCF!$B$36/WACC!$B$20)</f>
        <v>122.30723693221407</v>
      </c>
      <c r="F16" s="76">
        <f>(((Forecast!$B$17/(1+$A16)^DCF!$B$6)+(Forecast!$C$17/(1+$A16)^DCF!$C$6)+(Forecast!$D$17/(1+$A16)^DCF!$D$6)+(Forecast!$E$17/(1+$A16)^DCF!$E$6)+((Forecast!$F$3*F$13*(1-Forecast!$F$7)+Forecast!$F$9-Forecast!$F$13-Forecast!$F$16)/(1+$A16)^DCF!$F$6)+(((Forecast!$F$3*F$13*(1-Forecast!$F$7)+Forecast!$F$9-Forecast!$F$13-Forecast!$F$16)*(1+DCF!$B$13)/($A16-DCF!$B$13))/(1+$A16)^DCF!$F$6)-DCF!$B$42)*1000000/DCF!$B$36/WACC!$B$20)</f>
        <v>124.37163343599126</v>
      </c>
    </row>
    <row r="17" spans="1:6">
      <c r="A17" s="85">
        <v>0.09</v>
      </c>
      <c r="B17" s="76">
        <f>(((Forecast!$B$17/(1+$A17)^DCF!$B$6)+(Forecast!$C$17/(1+$A17)^DCF!$C$6)+(Forecast!$D$17/(1+$A17)^DCF!$D$6)+(Forecast!$E$17/(1+$A17)^DCF!$E$6)+((Forecast!$F$3*B$13*(1-Forecast!$F$7)+Forecast!$F$9-Forecast!$F$13-Forecast!$F$16)/(1+$A17)^DCF!$F$6)+(((Forecast!$F$3*B$13*(1-Forecast!$F$7)+Forecast!$F$9-Forecast!$F$13-Forecast!$F$16)*(1+DCF!$B$13)/($A17-DCF!$B$13))/(1+$A17)^DCF!$F$6)-DCF!$B$42)*1000000/DCF!$B$36/WACC!$B$20)</f>
        <v>96.374291308309211</v>
      </c>
      <c r="C17" s="76">
        <f>(((Forecast!$B$17/(1+$A17)^DCF!$B$6)+(Forecast!$C$17/(1+$A17)^DCF!$C$6)+(Forecast!$D$17/(1+$A17)^DCF!$D$6)+(Forecast!$E$17/(1+$A17)^DCF!$E$6)+((Forecast!$F$3*C$13*(1-Forecast!$F$7)+Forecast!$F$9-Forecast!$F$13-Forecast!$F$16)/(1+$A17)^DCF!$F$6)+(((Forecast!$F$3*C$13*(1-Forecast!$F$7)+Forecast!$F$9-Forecast!$F$13-Forecast!$F$16)*(1+DCF!$B$13)/($A17-DCF!$B$13))/(1+$A17)^DCF!$F$6)-DCF!$B$42)*1000000/DCF!$B$36/WACC!$B$20)</f>
        <v>98.057862469693106</v>
      </c>
      <c r="D17" s="76">
        <f>(((Forecast!$B$17/(1+$A17)^DCF!$B$6)+(Forecast!$C$17/(1+$A17)^DCF!$C$6)+(Forecast!$D$17/(1+$A17)^DCF!$D$6)+(Forecast!$E$17/(1+$A17)^DCF!$E$6)+((Forecast!$F$3*D$13*(1-Forecast!$F$7)+Forecast!$F$9-Forecast!$F$13-Forecast!$F$16)/(1+$A17)^DCF!$F$6)+(((Forecast!$F$3*D$13*(1-Forecast!$F$7)+Forecast!$F$9-Forecast!$F$13-Forecast!$F$16)*(1+DCF!$B$13)/($A17-DCF!$B$13))/(1+$A17)^DCF!$F$6)-DCF!$B$42)*1000000/DCF!$B$36/WACC!$B$20)</f>
        <v>99.741433631077001</v>
      </c>
      <c r="E17" s="76">
        <f>(((Forecast!$B$17/(1+$A17)^DCF!$B$6)+(Forecast!$C$17/(1+$A17)^DCF!$C$6)+(Forecast!$D$17/(1+$A17)^DCF!$D$6)+(Forecast!$E$17/(1+$A17)^DCF!$E$6)+((Forecast!$F$3*E$13*(1-Forecast!$F$7)+Forecast!$F$9-Forecast!$F$13-Forecast!$F$16)/(1+$A17)^DCF!$F$6)+(((Forecast!$F$3*E$13*(1-Forecast!$F$7)+Forecast!$F$9-Forecast!$F$13-Forecast!$F$16)*(1+DCF!$B$13)/($A17-DCF!$B$13))/(1+$A17)^DCF!$F$6)-DCF!$B$42)*1000000/DCF!$B$36/WACC!$B$20)</f>
        <v>101.42500479246085</v>
      </c>
      <c r="F17" s="76">
        <f>(((Forecast!$B$17/(1+$A17)^DCF!$B$6)+(Forecast!$C$17/(1+$A17)^DCF!$C$6)+(Forecast!$D$17/(1+$A17)^DCF!$D$6)+(Forecast!$E$17/(1+$A17)^DCF!$E$6)+((Forecast!$F$3*F$13*(1-Forecast!$F$7)+Forecast!$F$9-Forecast!$F$13-Forecast!$F$16)/(1+$A17)^DCF!$F$6)+(((Forecast!$F$3*F$13*(1-Forecast!$F$7)+Forecast!$F$9-Forecast!$F$13-Forecast!$F$16)*(1+DCF!$B$13)/($A17-DCF!$B$13))/(1+$A17)^DCF!$F$6)-DCF!$B$42)*1000000/DCF!$B$36/WACC!$B$20)</f>
        <v>103.10857595384476</v>
      </c>
    </row>
    <row r="18" spans="1:6">
      <c r="A18" s="84">
        <v>0.1</v>
      </c>
      <c r="B18" s="76">
        <f>(((Forecast!$B$17/(1+$A18)^DCF!$B$6)+(Forecast!$C$17/(1+$A18)^DCF!$C$6)+(Forecast!$D$17/(1+$A18)^DCF!$D$6)+(Forecast!$E$17/(1+$A18)^DCF!$E$6)+((Forecast!$F$3*B$13*(1-Forecast!$F$7)+Forecast!$F$9-Forecast!$F$13-Forecast!$F$16)/(1+$A18)^DCF!$F$6)+(((Forecast!$F$3*B$13*(1-Forecast!$F$7)+Forecast!$F$9-Forecast!$F$13-Forecast!$F$16)*(1+DCF!$B$13)/($A18-DCF!$B$13))/(1+$A18)^DCF!$F$6)-DCF!$B$42)*1000000/DCF!$B$36/WACC!$B$20)</f>
        <v>81.898649073045746</v>
      </c>
      <c r="C18" s="76">
        <f>(((Forecast!$B$17/(1+$A18)^DCF!$B$6)+(Forecast!$C$17/(1+$A18)^DCF!$C$6)+(Forecast!$D$17/(1+$A18)^DCF!$D$6)+(Forecast!$E$17/(1+$A18)^DCF!$E$6)+((Forecast!$F$3*C$13*(1-Forecast!$F$7)+Forecast!$F$9-Forecast!$F$13-Forecast!$F$16)/(1+$A18)^DCF!$F$6)+(((Forecast!$F$3*C$13*(1-Forecast!$F$7)+Forecast!$F$9-Forecast!$F$13-Forecast!$F$16)*(1+DCF!$B$13)/($A18-DCF!$B$13))/(1+$A18)^DCF!$F$6)-DCF!$B$42)*1000000/DCF!$B$36/WACC!$B$20)</f>
        <v>83.305405222533054</v>
      </c>
      <c r="D18" s="76">
        <f>(((Forecast!$B$17/(1+$A18)^DCF!$B$6)+(Forecast!$C$17/(1+$A18)^DCF!$C$6)+(Forecast!$D$17/(1+$A18)^DCF!$D$6)+(Forecast!$E$17/(1+$A18)^DCF!$E$6)+((Forecast!$F$3*D$13*(1-Forecast!$F$7)+Forecast!$F$9-Forecast!$F$13-Forecast!$F$16)/(1+$A18)^DCF!$F$6)+(((Forecast!$F$3*D$13*(1-Forecast!$F$7)+Forecast!$F$9-Forecast!$F$13-Forecast!$F$16)*(1+DCF!$B$13)/($A18-DCF!$B$13))/(1+$A18)^DCF!$F$6)-DCF!$B$42)*1000000/DCF!$B$36/WACC!$B$20)</f>
        <v>84.71216137202039</v>
      </c>
      <c r="E18" s="76">
        <f>(((Forecast!$B$17/(1+$A18)^DCF!$B$6)+(Forecast!$C$17/(1+$A18)^DCF!$C$6)+(Forecast!$D$17/(1+$A18)^DCF!$D$6)+(Forecast!$E$17/(1+$A18)^DCF!$E$6)+((Forecast!$F$3*E$13*(1-Forecast!$F$7)+Forecast!$F$9-Forecast!$F$13-Forecast!$F$16)/(1+$A18)^DCF!$F$6)+(((Forecast!$F$3*E$13*(1-Forecast!$F$7)+Forecast!$F$9-Forecast!$F$13-Forecast!$F$16)*(1+DCF!$B$13)/($A18-DCF!$B$13))/(1+$A18)^DCF!$F$6)-DCF!$B$42)*1000000/DCF!$B$36/WACC!$B$20)</f>
        <v>86.118917521507683</v>
      </c>
      <c r="F18" s="76">
        <f>(((Forecast!$B$17/(1+$A18)^DCF!$B$6)+(Forecast!$C$17/(1+$A18)^DCF!$C$6)+(Forecast!$D$17/(1+$A18)^DCF!$D$6)+(Forecast!$E$17/(1+$A18)^DCF!$E$6)+((Forecast!$F$3*F$13*(1-Forecast!$F$7)+Forecast!$F$9-Forecast!$F$13-Forecast!$F$16)/(1+$A18)^DCF!$F$6)+(((Forecast!$F$3*F$13*(1-Forecast!$F$7)+Forecast!$F$9-Forecast!$F$13-Forecast!$F$16)*(1+DCF!$B$13)/($A18-DCF!$B$13))/(1+$A18)^DCF!$F$6)-DCF!$B$42)*1000000/DCF!$B$36/WACC!$B$20)</f>
        <v>87.525673670995019</v>
      </c>
    </row>
  </sheetData>
  <mergeCells count="3">
    <mergeCell ref="A3:F3"/>
    <mergeCell ref="A12:F12"/>
    <mergeCell ref="A1:F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Historical Financials</vt:lpstr>
      <vt:lpstr>Forecast</vt:lpstr>
      <vt:lpstr>WACC</vt:lpstr>
      <vt:lpstr>DCF</vt:lpstr>
      <vt:lpstr>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Conklin</dc:creator>
  <cp:lastModifiedBy>Cole Conklin</cp:lastModifiedBy>
  <dcterms:created xsi:type="dcterms:W3CDTF">2026-09-14T13:21:30Z</dcterms:created>
  <dcterms:modified xsi:type="dcterms:W3CDTF">2026-10-21T20:02:13Z</dcterms:modified>
</cp:coreProperties>
</file>